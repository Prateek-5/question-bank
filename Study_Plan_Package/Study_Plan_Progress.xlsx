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Plan" sheetId="1" state="visible" r:id="rId1"/>
    <sheet xmlns:r="http://schemas.openxmlformats.org/officeDocument/2006/relationships" name="Overall Progress" sheetId="2" state="visible" r:id="rId2"/>
    <sheet xmlns:r="http://schemas.openxmlformats.org/officeDocument/2006/relationships" name="Topic Pipeline" sheetId="3" state="visible" r:id="rId3"/>
    <sheet xmlns:r="http://schemas.openxmlformats.org/officeDocument/2006/relationships" name="Pending Queue" sheetId="4" state="visible" r:id="rId4"/>
    <sheet xmlns:r="http://schemas.openxmlformats.org/officeDocument/2006/relationships" name="Revisit Queue" sheetId="5" state="visible" r:id="rId5"/>
    <sheet xmlns:r="http://schemas.openxmlformats.org/officeDocument/2006/relationships" name="Skipped" sheetId="6" state="visible" r:id="rId6"/>
    <sheet xmlns:r="http://schemas.openxmlformats.org/officeDocument/2006/relationships" name="Data Issues (source xlsx)" sheetId="7" state="visible" r:id="rId7"/>
  </sheets>
  <definedNames>
    <definedName name="_xlnm._FilterDatabase" localSheetId="0" hidden="1">'Study Plan'!$A$1:$N$1</definedName>
    <definedName name="_xlnm._FilterDatabase" localSheetId="2" hidden="1">'Topic Pipeline'!$A$1:$L$1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B45309"/>
    </font>
    <font>
      <color rgb="001155CC"/>
      <u val="single"/>
    </font>
    <font>
      <b val="1"/>
      <color rgb="00111827"/>
      <sz val="18"/>
    </font>
    <font>
      <i val="1"/>
      <color rgb="006B7280"/>
      <sz val="10"/>
    </font>
    <font>
      <b val="1"/>
      <color rgb="00FFFFFF"/>
      <sz val="10"/>
    </font>
    <font>
      <b val="1"/>
      <color rgb="00FFFFFF"/>
      <sz val="24"/>
    </font>
    <font>
      <b val="1"/>
      <color rgb="00111827"/>
      <sz val="12"/>
    </font>
    <font>
      <b val="1"/>
      <color rgb="00374151"/>
    </font>
    <font>
      <b val="1"/>
      <sz val="13"/>
    </font>
    <font>
      <i val="1"/>
      <color rgb="006B7280"/>
      <sz val="9"/>
    </font>
  </fonts>
  <fills count="1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E8E5A"/>
      </patternFill>
    </fill>
    <fill>
      <patternFill patternType="solid">
        <fgColor rgb="001565C0"/>
      </patternFill>
    </fill>
    <fill>
      <patternFill patternType="solid">
        <fgColor rgb="009CA3AF"/>
      </patternFill>
    </fill>
    <fill>
      <patternFill patternType="solid">
        <fgColor rgb="006D4C6F"/>
      </patternFill>
    </fill>
    <fill>
      <patternFill patternType="solid">
        <fgColor rgb="00E65100"/>
      </patternFill>
    </fill>
    <fill>
      <patternFill patternType="solid">
        <fgColor rgb="0000695C"/>
      </patternFill>
    </fill>
    <fill>
      <patternFill patternType="solid">
        <fgColor rgb="00283593"/>
      </patternFill>
    </fill>
    <fill>
      <patternFill patternType="solid">
        <fgColor rgb="00EAF1DD"/>
      </patternFill>
    </fill>
    <fill>
      <patternFill patternType="solid">
        <fgColor rgb="00DCE6F1"/>
      </patternFill>
    </fill>
    <fill>
      <patternFill patternType="solid">
        <fgColor rgb="00FDE9D9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166" fontId="7" fillId="9" borderId="0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0" applyAlignment="1" pivotButton="0" quotePrefix="0" xfId="0">
      <alignment horizontal="center" wrapText="1"/>
    </xf>
    <xf numFmtId="0" fontId="9" fillId="0" borderId="1" pivotButton="0" quotePrefix="0" xfId="0"/>
    <xf numFmtId="0" fontId="0" fillId="0" borderId="1" pivotButton="0" quotePrefix="0" xfId="0"/>
    <xf numFmtId="0" fontId="0" fillId="11" borderId="1" pivotButton="0" quotePrefix="0" xfId="0"/>
    <xf numFmtId="166" fontId="0" fillId="11" borderId="1" pivotButton="0" quotePrefix="0" xfId="0"/>
    <xf numFmtId="0" fontId="0" fillId="12" borderId="1" pivotButton="0" quotePrefix="0" xfId="0"/>
    <xf numFmtId="166" fontId="0" fillId="12" borderId="1" pivotButton="0" quotePrefix="0" xfId="0"/>
    <xf numFmtId="0" fontId="0" fillId="13" borderId="1" pivotButton="0" quotePrefix="0" xfId="0"/>
    <xf numFmtId="166" fontId="0" fillId="13" borderId="1" pivotButton="0" quotePrefix="0" xfId="0"/>
    <xf numFmtId="0" fontId="0" fillId="14" borderId="1" pivotButton="0" quotePrefix="0" xfId="0"/>
    <xf numFmtId="166" fontId="0" fillId="14" borderId="1" pivotButton="0" quotePrefix="0" xfId="0"/>
    <xf numFmtId="165" fontId="0" fillId="0" borderId="1" pivotButton="0" quotePrefix="0" xfId="0"/>
    <xf numFmtId="0" fontId="1" fillId="3" borderId="0" pivotButton="0" quotePrefix="0" xfId="0"/>
    <xf numFmtId="166" fontId="1" fillId="3" borderId="0" pivotButton="0" quotePrefix="0" xfId="0"/>
    <xf numFmtId="166" fontId="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EAF1DD"/>
        </patternFill>
      </fill>
    </dxf>
    <dxf>
      <fill>
        <patternFill patternType="solid">
          <fgColor rgb="00DCE6F1"/>
        </patternFill>
      </fill>
    </dxf>
    <dxf>
      <fill>
        <patternFill patternType="solid">
          <fgColor rgb="00FDE9D9"/>
        </patternFill>
      </fill>
    </dxf>
    <dxf>
      <fill>
        <patternFill patternType="solid">
          <fgColor rgb="00E4DFE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1F4E79"/>
      </font>
      <fill>
        <patternFill patternType="solid">
          <fgColor rgb="00BDD7EE"/>
        </patternFill>
      </fill>
    </dxf>
    <dxf>
      <font>
        <color rgb="00674EA7"/>
      </font>
      <fill>
        <patternFill patternType="solid">
          <fgColor rgb="00D9D2E9"/>
        </patternFill>
      </fill>
    </dxf>
    <dxf>
      <font>
        <color rgb="007F7F7F"/>
      </font>
      <fill>
        <patternFill patternType="solid">
          <fgColor rgb="00F2F2F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 ht="30" customHeight="1">
      <c r="A1" s="1" t="inlineStr">
        <is>
          <t>#</t>
        </is>
      </c>
      <c r="B1" s="1" t="inlineStr">
        <is>
          <t>Phase</t>
        </is>
      </c>
      <c r="C1" s="1" t="inlineStr">
        <is>
          <t>Topic</t>
        </is>
      </c>
      <c r="D1" s="1" t="inlineStr">
        <is>
          <t>Sub-Pattern</t>
        </is>
      </c>
      <c r="E1" s="1" t="inlineStr">
        <is>
          <t>Topic Order#</t>
        </is>
      </c>
      <c r="F1" s="1" t="inlineStr">
        <is>
          <t>Priority</t>
        </is>
      </c>
      <c r="G1" s="1" t="inlineStr">
        <is>
          <t>Problem</t>
        </is>
      </c>
      <c r="H1" s="1" t="inlineStr">
        <is>
          <t>Pattern / Approach Note</t>
        </is>
      </c>
      <c r="I1" s="1" t="inlineStr">
        <is>
          <t>Status</t>
        </is>
      </c>
      <c r="J1" s="1" t="inlineStr">
        <is>
          <t>Needs Revisit</t>
        </is>
      </c>
      <c r="K1" s="1" t="inlineStr">
        <is>
          <t>Date Solved</t>
        </is>
      </c>
      <c r="L1" s="1" t="inlineStr">
        <is>
          <t>Notes</t>
        </is>
      </c>
      <c r="M1" s="1" t="inlineStr">
        <is>
          <t>LeetCode Link</t>
        </is>
      </c>
      <c r="N1" s="1" t="inlineStr">
        <is>
          <t>Walkthrough</t>
        </is>
      </c>
    </row>
    <row r="2">
      <c r="A2" s="2" t="n">
        <v>1</v>
      </c>
      <c r="B2" s="2" t="inlineStr">
        <is>
          <t>Phase 1 · Foundations</t>
        </is>
      </c>
      <c r="C2" s="2" t="inlineStr">
        <is>
          <t>📦 Arrays &amp; Matrices</t>
        </is>
      </c>
      <c r="D2" s="2" t="inlineStr">
        <is>
          <t>Warm-ups — basic scan and indexing</t>
        </is>
      </c>
      <c r="E2" s="2" t="n">
        <v>1</v>
      </c>
      <c r="F2" s="3" t="inlineStr">
        <is>
          <t>Must-do</t>
        </is>
      </c>
      <c r="G2" s="2" t="inlineStr">
        <is>
          <t>Concatenation of Array</t>
        </is>
      </c>
      <c r="H2" s="4" t="inlineStr">
        <is>
          <t>Re-index into a 2×N array.</t>
        </is>
      </c>
      <c r="I2" s="2" t="inlineStr">
        <is>
          <t>Solved</t>
        </is>
      </c>
      <c r="J2" s="2" t="n"/>
      <c r="K2" s="5" t="n">
        <v>46165</v>
      </c>
      <c r="L2" s="4" t="n"/>
      <c r="M2" s="6">
        <f>HYPERLINK("https://leetcode.com/problems/concatenation-of-array/","Solve on LeetCode ↗")</f>
        <v/>
      </c>
      <c r="N2" s="6">
        <f>HYPERLINK("https://github.com/Prateek-5/question-bank/blob/main/DSA/Topics/Arrays_and_Matrices/learn/Concatenation_of_Array.md","View Walkthrough ↗")</f>
        <v/>
      </c>
    </row>
    <row r="3">
      <c r="A3" s="2" t="n">
        <v>2</v>
      </c>
      <c r="B3" s="2" t="inlineStr">
        <is>
          <t>Phase 1 · Foundations</t>
        </is>
      </c>
      <c r="C3" s="2" t="inlineStr">
        <is>
          <t>📦 Arrays &amp; Matrices</t>
        </is>
      </c>
      <c r="D3" s="2" t="inlineStr">
        <is>
          <t>Warm-ups — basic scan and indexing</t>
        </is>
      </c>
      <c r="E3" s="2" t="n">
        <v>2</v>
      </c>
      <c r="F3" s="3" t="inlineStr">
        <is>
          <t>Must-do</t>
        </is>
      </c>
      <c r="G3" s="2" t="inlineStr">
        <is>
          <t>Fizz Buzz</t>
        </is>
      </c>
      <c r="H3" s="4" t="inlineStr">
        <is>
          <t>Branching on divisibility; cleanest hello-world.</t>
        </is>
      </c>
      <c r="I3" s="2" t="inlineStr">
        <is>
          <t>Solved</t>
        </is>
      </c>
      <c r="J3" s="2" t="n"/>
      <c r="K3" s="5" t="n">
        <v>46165</v>
      </c>
      <c r="L3" s="4" t="n"/>
      <c r="M3" s="6">
        <f>HYPERLINK("https://leetcode.com/problems/fizz-buzz/","Solve on LeetCode ↗")</f>
        <v/>
      </c>
      <c r="N3" s="6">
        <f>HYPERLINK("https://github.com/Prateek-5/question-bank/blob/main/DSA/Topics/Arrays_and_Matrices/learn/Fizz_Buzz.md","View Walkthrough ↗")</f>
        <v/>
      </c>
    </row>
    <row r="4">
      <c r="A4" s="2" t="n">
        <v>3</v>
      </c>
      <c r="B4" s="2" t="inlineStr">
        <is>
          <t>Phase 1 · Foundations</t>
        </is>
      </c>
      <c r="C4" s="2" t="inlineStr">
        <is>
          <t>📦 Arrays &amp; Matrices</t>
        </is>
      </c>
      <c r="D4" s="2" t="inlineStr">
        <is>
          <t>Warm-ups — basic scan and indexing</t>
        </is>
      </c>
      <c r="E4" s="2" t="n">
        <v>3</v>
      </c>
      <c r="F4" s="2" t="inlineStr"/>
      <c r="G4" s="2" t="inlineStr">
        <is>
          <t>Maximum Number of Words Found in Sentences</t>
        </is>
      </c>
      <c r="H4" s="4" t="inlineStr">
        <is>
          <t>Per-row max via split.</t>
        </is>
      </c>
      <c r="I4" s="2" t="inlineStr">
        <is>
          <t>Solved</t>
        </is>
      </c>
      <c r="J4" s="2" t="n"/>
      <c r="K4" s="5" t="n">
        <v>46165</v>
      </c>
      <c r="L4" s="4" t="n"/>
      <c r="M4" s="6">
        <f>HYPERLINK("https://leetcode.com/problems/maximum-number-of-words-found-in-sentences/","Solve on LeetCode ↗")</f>
        <v/>
      </c>
      <c r="N4" s="6">
        <f>HYPERLINK("https://github.com/Prateek-5/question-bank/blob/main/DSA/Topics/Arrays_and_Matrices/learn/Maximum_Number_of_Words_Found_in_Sentences.md","View Walkthrough ↗")</f>
        <v/>
      </c>
    </row>
    <row r="5">
      <c r="A5" s="2" t="n">
        <v>4</v>
      </c>
      <c r="B5" s="2" t="inlineStr">
        <is>
          <t>Phase 1 · Foundations</t>
        </is>
      </c>
      <c r="C5" s="2" t="inlineStr">
        <is>
          <t>📦 Arrays &amp; Matrices</t>
        </is>
      </c>
      <c r="D5" s="2" t="inlineStr">
        <is>
          <t>Matrix access — 2D indexing</t>
        </is>
      </c>
      <c r="E5" s="2" t="n">
        <v>4</v>
      </c>
      <c r="F5" s="3" t="inlineStr">
        <is>
          <t>Must-do</t>
        </is>
      </c>
      <c r="G5" s="2" t="inlineStr">
        <is>
          <t>Matrix Diagonal Sum</t>
        </is>
      </c>
      <c r="H5" s="4" t="inlineStr">
        <is>
          <t>Main + anti-diagonal; handle odd-size middle.</t>
        </is>
      </c>
      <c r="I5" s="2" t="inlineStr">
        <is>
          <t>Solved</t>
        </is>
      </c>
      <c r="J5" s="2" t="inlineStr">
        <is>
          <t>Yes</t>
        </is>
      </c>
      <c r="K5" s="5" t="n">
        <v>46165</v>
      </c>
      <c r="L5" s="4" t="n"/>
      <c r="M5" s="6">
        <f>HYPERLINK("https://leetcode.com/problems/matrix-diagonal-sum/","Solve on LeetCode ↗")</f>
        <v/>
      </c>
      <c r="N5" s="6">
        <f>HYPERLINK("https://github.com/Prateek-5/question-bank/blob/main/DSA/Topics/Arrays_and_Matrices/learn/Matrix_Diagonal_Sum.md","View Walkthrough ↗")</f>
        <v/>
      </c>
    </row>
    <row r="6">
      <c r="A6" s="2" t="n">
        <v>5</v>
      </c>
      <c r="B6" s="2" t="inlineStr">
        <is>
          <t>Phase 1 · Foundations</t>
        </is>
      </c>
      <c r="C6" s="2" t="inlineStr">
        <is>
          <t>📦 Arrays &amp; Matrices</t>
        </is>
      </c>
      <c r="D6" s="2" t="inlineStr">
        <is>
          <t>Matrix access — 2D indexing</t>
        </is>
      </c>
      <c r="E6" s="2" t="n">
        <v>5</v>
      </c>
      <c r="F6" s="3" t="inlineStr">
        <is>
          <t>Must-do</t>
        </is>
      </c>
      <c r="G6" s="2" t="inlineStr">
        <is>
          <t>Spiral Matrix II</t>
        </is>
      </c>
      <c r="H6" s="4" t="inlineStr">
        <is>
          <t>Boundary-walking simulation with four directions.</t>
        </is>
      </c>
      <c r="I6" s="2" t="inlineStr">
        <is>
          <t>Skipped</t>
        </is>
      </c>
      <c r="J6" s="2" t="n"/>
      <c r="K6" s="2" t="n"/>
      <c r="L6" s="4" t="n"/>
      <c r="M6" s="6">
        <f>HYPERLINK("https://leetcode.com/problems/spiral-matrix-ii/","Solve on LeetCode ↗")</f>
        <v/>
      </c>
      <c r="N6" s="6">
        <f>HYPERLINK("https://github.com/Prateek-5/question-bank/blob/main/DSA/Topics/Arrays_and_Matrices/learn/Spiral_Matrix_II.md","View Walkthrough ↗")</f>
        <v/>
      </c>
    </row>
    <row r="7">
      <c r="A7" s="2" t="n">
        <v>6</v>
      </c>
      <c r="B7" s="2" t="inlineStr">
        <is>
          <t>Phase 1 · Foundations</t>
        </is>
      </c>
      <c r="C7" s="2" t="inlineStr">
        <is>
          <t>📦 Arrays &amp; Matrices</t>
        </is>
      </c>
      <c r="D7" s="2" t="inlineStr">
        <is>
          <t>Sweep / observation</t>
        </is>
      </c>
      <c r="E7" s="2" t="n">
        <v>6</v>
      </c>
      <c r="F7" s="2" t="inlineStr"/>
      <c r="G7" s="2" t="inlineStr">
        <is>
          <t>Maximum Gap</t>
        </is>
      </c>
      <c r="H7" s="4" t="inlineStr">
        <is>
          <t>Bucket sort to beat sort's O(n log n). Senior signal.</t>
        </is>
      </c>
      <c r="I7" s="2" t="inlineStr">
        <is>
          <t>Skipped</t>
        </is>
      </c>
      <c r="J7" s="2" t="n"/>
      <c r="K7" s="2" t="n"/>
      <c r="L7" s="4" t="n"/>
      <c r="M7" s="6">
        <f>HYPERLINK("https://leetcode.com/problems/maximum-gap/","Solve on LeetCode ↗")</f>
        <v/>
      </c>
      <c r="N7" s="6">
        <f>HYPERLINK("https://github.com/Prateek-5/question-bank/blob/main/DSA/Topics/Arrays_and_Matrices/learn/Maximum_Gap.md","View Walkthrough ↗")</f>
        <v/>
      </c>
    </row>
    <row r="8">
      <c r="A8" s="2" t="n">
        <v>7</v>
      </c>
      <c r="B8" s="2" t="inlineStr">
        <is>
          <t>Phase 1 · Foundations</t>
        </is>
      </c>
      <c r="C8" s="2" t="inlineStr">
        <is>
          <t>📦 Arrays &amp; Matrices</t>
        </is>
      </c>
      <c r="D8" s="2" t="inlineStr">
        <is>
          <t>Sweep / observation</t>
        </is>
      </c>
      <c r="E8" s="2" t="n">
        <v>7</v>
      </c>
      <c r="F8" s="2" t="inlineStr"/>
      <c r="G8" s="2" t="inlineStr">
        <is>
          <t>Total Hamming Distance</t>
        </is>
      </c>
      <c r="H8" s="4" t="inlineStr">
        <is>
          <t>Bit-by-bit contribution; O(n × 32) not O(n²).</t>
        </is>
      </c>
      <c r="I8" s="2" t="inlineStr">
        <is>
          <t>Solved</t>
        </is>
      </c>
      <c r="J8" s="2" t="inlineStr">
        <is>
          <t>Yes</t>
        </is>
      </c>
      <c r="K8" s="5" t="n">
        <v>46166</v>
      </c>
      <c r="L8" s="4" t="n"/>
      <c r="M8" s="6">
        <f>HYPERLINK("https://leetcode.com/problems/total-hamming-distance/","Solve on LeetCode ↗")</f>
        <v/>
      </c>
      <c r="N8" s="6">
        <f>HYPERLINK("https://github.com/Prateek-5/question-bank/blob/main/DSA/Topics/Arrays_and_Matrices/learn/Total_Hamming_Distance.md","View Walkthrough ↗")</f>
        <v/>
      </c>
    </row>
    <row r="9">
      <c r="A9" s="2" t="n">
        <v>8</v>
      </c>
      <c r="B9" s="2" t="inlineStr">
        <is>
          <t>Phase 1 · Foundations</t>
        </is>
      </c>
      <c r="C9" s="2" t="inlineStr">
        <is>
          <t>📦 Arrays &amp; Matrices</t>
        </is>
      </c>
      <c r="D9" s="2" t="inlineStr">
        <is>
          <t>Sweep / observation</t>
        </is>
      </c>
      <c r="E9" s="2" t="n">
        <v>8</v>
      </c>
      <c r="F9" s="2" t="inlineStr"/>
      <c r="G9" s="2" t="inlineStr">
        <is>
          <t>Maximum Absolute Value Expression</t>
        </is>
      </c>
      <c r="H9" s="4" t="inlineStr">
        <is>
          <t>Math trick to remove absolute values via sign enumeration.</t>
        </is>
      </c>
      <c r="I9" s="2" t="inlineStr">
        <is>
          <t>Skipped</t>
        </is>
      </c>
      <c r="J9" s="2" t="n"/>
      <c r="K9" s="2" t="n"/>
      <c r="L9" s="4" t="n"/>
      <c r="M9" s="6">
        <f>HYPERLINK("https://leetcode.com/problems/maximum-of-absolute-value-expression/","Solve on LeetCode ↗")</f>
        <v/>
      </c>
      <c r="N9" s="6">
        <f>HYPERLINK("https://github.com/Prateek-5/question-bank/blob/main/DSA/Topics/Arrays_and_Matrices/learn/Maximum_Absolute_Value_Expression.md","View Walkthrough ↗")</f>
        <v/>
      </c>
    </row>
    <row r="10">
      <c r="A10" s="2" t="n">
        <v>9</v>
      </c>
      <c r="B10" s="2" t="inlineStr">
        <is>
          <t>Phase 1 · Foundations</t>
        </is>
      </c>
      <c r="C10" s="2" t="inlineStr">
        <is>
          <t>📦 Arrays &amp; Matrices</t>
        </is>
      </c>
      <c r="D10" s="2" t="inlineStr">
        <is>
          <t>Classic finale</t>
        </is>
      </c>
      <c r="E10" s="2" t="n">
        <v>9</v>
      </c>
      <c r="F10" s="3" t="inlineStr">
        <is>
          <t>Must-do</t>
        </is>
      </c>
      <c r="G10" s="2" t="inlineStr">
        <is>
          <t>Trapping Rain Water</t>
        </is>
      </c>
      <c r="H10" s="4" t="inlineStr">
        <is>
          <t>Two-pointer or precomputed L/R max. THE classic.</t>
        </is>
      </c>
      <c r="I10" s="2" t="inlineStr">
        <is>
          <t>Solved</t>
        </is>
      </c>
      <c r="J10" s="2" t="inlineStr">
        <is>
          <t>Yes</t>
        </is>
      </c>
      <c r="K10" s="5" t="n">
        <v>46166</v>
      </c>
      <c r="L10" s="4" t="n"/>
      <c r="M10" s="6">
        <f>HYPERLINK("https://leetcode.com/problems/trapping-rain-water/","Solve on LeetCode ↗")</f>
        <v/>
      </c>
      <c r="N10" s="6">
        <f>HYPERLINK("https://github.com/Prateek-5/question-bank/blob/main/DSA/Topics/Arrays_and_Matrices/learn/Trapping_Rain_Water.md","View Walkthrough ↗")</f>
        <v/>
      </c>
    </row>
    <row r="11">
      <c r="A11" s="2" t="n">
        <v>10</v>
      </c>
      <c r="B11" s="2" t="inlineStr">
        <is>
          <t>Phase 1 · Foundations</t>
        </is>
      </c>
      <c r="C11" s="2" t="inlineStr">
        <is>
          <t>📊 1-D &amp; 2-D Arrays</t>
        </is>
      </c>
      <c r="D11" s="2" t="inlineStr">
        <is>
          <t>Prefix sum — 1D</t>
        </is>
      </c>
      <c r="E11" s="2" t="n">
        <v>1</v>
      </c>
      <c r="F11" s="3" t="inlineStr">
        <is>
          <t>Must-do</t>
        </is>
      </c>
      <c r="G11" s="2" t="inlineStr">
        <is>
          <t>Running Sum of 1D Array</t>
        </is>
      </c>
      <c r="H11" s="4" t="inlineStr">
        <is>
          <t>Literally the prefix-sum array. The reflex starts here.</t>
        </is>
      </c>
      <c r="I11" s="2" t="inlineStr">
        <is>
          <t>Solved</t>
        </is>
      </c>
      <c r="J11" s="2" t="n"/>
      <c r="K11" s="5" t="n">
        <v>46166</v>
      </c>
      <c r="L11" s="4" t="n"/>
      <c r="M11" s="6">
        <f>HYPERLINK("https://leetcode.com/problems/running-sum-of-1d-array/","Solve on LeetCode ↗")</f>
        <v/>
      </c>
      <c r="N11" s="6">
        <f>HYPERLINK("https://github.com/Prateek-5/question-bank/blob/main/DSA/Topics/1_D_and_2_D_Arrays/learn/Running_Sum_of_1D_Array.md","View Walkthrough ↗")</f>
        <v/>
      </c>
    </row>
    <row r="12">
      <c r="A12" s="2" t="n">
        <v>11</v>
      </c>
      <c r="B12" s="2" t="inlineStr">
        <is>
          <t>Phase 1 · Foundations</t>
        </is>
      </c>
      <c r="C12" s="2" t="inlineStr">
        <is>
          <t>📊 1-D &amp; 2-D Arrays</t>
        </is>
      </c>
      <c r="D12" s="2" t="inlineStr">
        <is>
          <t>2D scan (no prefix yet)</t>
        </is>
      </c>
      <c r="E12" s="2" t="n">
        <v>2</v>
      </c>
      <c r="F12" s="3" t="inlineStr">
        <is>
          <t>Must-do</t>
        </is>
      </c>
      <c r="G12" s="2" t="inlineStr">
        <is>
          <t>Richest Customer Wealth</t>
        </is>
      </c>
      <c r="H12" s="4" t="inlineStr">
        <is>
          <t>Row sums + max.</t>
        </is>
      </c>
      <c r="I12" s="2" t="inlineStr">
        <is>
          <t>Solved</t>
        </is>
      </c>
      <c r="J12" s="2" t="n"/>
      <c r="K12" s="5" t="n">
        <v>46166</v>
      </c>
      <c r="L12" s="4" t="n"/>
      <c r="M12" s="6">
        <f>HYPERLINK("https://leetcode.com/problems/richest-customer-wealth/","Solve on LeetCode ↗")</f>
        <v/>
      </c>
      <c r="N12" s="6">
        <f>HYPERLINK("https://github.com/Prateek-5/question-bank/blob/main/DSA/Topics/1_D_and_2_D_Arrays/learn/Richest_Customer_Wealth.md","View Walkthrough ↗")</f>
        <v/>
      </c>
    </row>
    <row r="13">
      <c r="A13" s="2" t="n">
        <v>12</v>
      </c>
      <c r="B13" s="2" t="inlineStr">
        <is>
          <t>Phase 1 · Foundations</t>
        </is>
      </c>
      <c r="C13" s="2" t="inlineStr">
        <is>
          <t>📊 1-D &amp; 2-D Arrays</t>
        </is>
      </c>
      <c r="D13" s="2" t="inlineStr">
        <is>
          <t>2D scan (no prefix yet)</t>
        </is>
      </c>
      <c r="E13" s="2" t="n">
        <v>3</v>
      </c>
      <c r="F13" s="2" t="inlineStr"/>
      <c r="G13" s="2" t="inlineStr">
        <is>
          <t>Special Positions in a Binary Matrix</t>
        </is>
      </c>
      <c r="H13" s="4" t="inlineStr">
        <is>
          <t>Precompute row + column counts.</t>
        </is>
      </c>
      <c r="I13" s="2" t="inlineStr">
        <is>
          <t>Solved</t>
        </is>
      </c>
      <c r="J13" s="2" t="inlineStr">
        <is>
          <t>Yes</t>
        </is>
      </c>
      <c r="K13" s="5" t="n">
        <v>46166</v>
      </c>
      <c r="L13" s="4" t="n"/>
      <c r="M13" s="6">
        <f>HYPERLINK("https://leetcode.com/problems/special-positions-in-a-binary-matrix/","Solve on LeetCode ↗")</f>
        <v/>
      </c>
      <c r="N13" s="6">
        <f>HYPERLINK("https://github.com/Prateek-5/question-bank/blob/main/DSA/Topics/1_D_and_2_D_Arrays/learn/Special_Positions_in_a_Binary_Matrix.md","View Walkthrough ↗")</f>
        <v/>
      </c>
    </row>
    <row r="14">
      <c r="A14" s="2" t="n">
        <v>13</v>
      </c>
      <c r="B14" s="2" t="inlineStr">
        <is>
          <t>Phase 1 · Foundations</t>
        </is>
      </c>
      <c r="C14" s="2" t="inlineStr">
        <is>
          <t>📊 1-D &amp; 2-D Arrays</t>
        </is>
      </c>
      <c r="D14" s="2" t="inlineStr">
        <is>
          <t>Index mapping</t>
        </is>
      </c>
      <c r="E14" s="2" t="n">
        <v>4</v>
      </c>
      <c r="F14" s="3" t="inlineStr">
        <is>
          <t>Must-do</t>
        </is>
      </c>
      <c r="G14" s="2" t="inlineStr">
        <is>
          <t>Convert 1D Array Into 2D Array</t>
        </is>
      </c>
      <c r="H14" s="4" t="inlineStr">
        <is>
          <t>`i = k/cols, j = k%cols`.</t>
        </is>
      </c>
      <c r="I14" s="2" t="inlineStr">
        <is>
          <t>Solved</t>
        </is>
      </c>
      <c r="J14" s="2" t="inlineStr">
        <is>
          <t>Yes</t>
        </is>
      </c>
      <c r="K14" s="5" t="n">
        <v>46167</v>
      </c>
      <c r="L14" s="4" t="n"/>
      <c r="M14" s="6">
        <f>HYPERLINK("https://leetcode.com/problems/convert-1d-array-into-2d-array/","Solve on LeetCode ↗")</f>
        <v/>
      </c>
      <c r="N14" s="6">
        <f>HYPERLINK("https://github.com/Prateek-5/question-bank/blob/main/DSA/Topics/1_D_and_2_D_Arrays/learn/Convert_1D_Array_Into_2D_Array.md","View Walkthrough ↗")</f>
        <v/>
      </c>
    </row>
    <row r="15">
      <c r="A15" s="2" t="n">
        <v>14</v>
      </c>
      <c r="B15" s="2" t="inlineStr">
        <is>
          <t>Phase 1 · Foundations</t>
        </is>
      </c>
      <c r="C15" s="2" t="inlineStr">
        <is>
          <t>📊 1-D &amp; 2-D Arrays</t>
        </is>
      </c>
      <c r="D15" s="2" t="inlineStr">
        <is>
          <t>Greedy on arrays</t>
        </is>
      </c>
      <c r="E15" s="2" t="n">
        <v>5</v>
      </c>
      <c r="F15" s="2" t="inlineStr"/>
      <c r="G15" s="2" t="inlineStr">
        <is>
          <t>Max Chunks To Make Sorted</t>
        </is>
      </c>
      <c r="H15" s="4" t="inlineStr">
        <is>
          <t>Running max equals current index → chunk boundary.</t>
        </is>
      </c>
      <c r="I15" s="2" t="inlineStr">
        <is>
          <t>Skipped</t>
        </is>
      </c>
      <c r="J15" s="2" t="n"/>
      <c r="K15" s="2" t="n"/>
      <c r="L15" s="4" t="n"/>
      <c r="M15" s="6">
        <f>HYPERLINK("https://leetcode.com/problems/max-chunks-to-make-sorted/","Solve on LeetCode ↗")</f>
        <v/>
      </c>
      <c r="N15" s="6">
        <f>HYPERLINK("https://github.com/Prateek-5/question-bank/blob/main/DSA/Topics/1_D_and_2_D_Arrays/learn/Max_Chunks_To_Make_Sorted.md","View Walkthrough ↗")</f>
        <v/>
      </c>
    </row>
    <row r="16">
      <c r="A16" s="2" t="n">
        <v>15</v>
      </c>
      <c r="B16" s="2" t="inlineStr">
        <is>
          <t>Phase 1 · Foundations</t>
        </is>
      </c>
      <c r="C16" s="2" t="inlineStr">
        <is>
          <t>📊 1-D &amp; 2-D Arrays</t>
        </is>
      </c>
      <c r="D16" s="2" t="inlineStr">
        <is>
          <t>Contribution / submatrix sums</t>
        </is>
      </c>
      <c r="E16" s="2" t="n">
        <v>6</v>
      </c>
      <c r="F16" s="2" t="inlineStr"/>
      <c r="G16" s="2" t="inlineStr">
        <is>
          <t>Sum of All Submatrices Odd Length Subarrays</t>
        </is>
      </c>
      <c r="H16" s="4" t="inlineStr">
        <is>
          <t>Each element's contribution = (number of subarrays containing it). Classic counting trick.</t>
        </is>
      </c>
      <c r="I16" s="2" t="inlineStr">
        <is>
          <t>Skipped</t>
        </is>
      </c>
      <c r="J16" s="2" t="n"/>
      <c r="K16" s="2" t="n"/>
      <c r="L16" s="4" t="n"/>
      <c r="M16" s="6">
        <f>HYPERLINK("https://leetcode.com/problems/sum-of-all-odd-length-subarrays/","Solve on LeetCode ↗")</f>
        <v/>
      </c>
      <c r="N16" s="6">
        <f>HYPERLINK("https://github.com/Prateek-5/question-bank/blob/main/DSA/Topics/1_D_and_2_D_Arrays/learn/Sum_of_All_Submatrices_Odd_Length_Subarrays.md","View Walkthrough ↗")</f>
        <v/>
      </c>
    </row>
    <row r="17">
      <c r="A17" s="2" t="n">
        <v>16</v>
      </c>
      <c r="B17" s="2" t="inlineStr">
        <is>
          <t>Phase 1 · Foundations</t>
        </is>
      </c>
      <c r="C17" s="2" t="inlineStr">
        <is>
          <t>📊 1-D &amp; 2-D Arrays</t>
        </is>
      </c>
      <c r="D17" s="2" t="inlineStr">
        <is>
          <t>2D prefix sum</t>
        </is>
      </c>
      <c r="E17" s="2" t="n">
        <v>7</v>
      </c>
      <c r="F17" s="3" t="inlineStr">
        <is>
          <t>Must-do</t>
        </is>
      </c>
      <c r="G17" s="2" t="inlineStr">
        <is>
          <t>Range Sum Query 2D Immutable</t>
        </is>
      </c>
      <c r="H17" s="4" t="inlineStr">
        <is>
          <t>2D prefix sum via inclusion-exclusion.</t>
        </is>
      </c>
      <c r="I17" s="2" t="inlineStr">
        <is>
          <t>Skipped</t>
        </is>
      </c>
      <c r="J17" s="2" t="n"/>
      <c r="K17" s="2" t="n"/>
      <c r="L17" s="4" t="n"/>
      <c r="M17" s="6">
        <f>HYPERLINK("https://leetcode.com/problems/range-sum-query-2d-immutable/","Solve on LeetCode ↗")</f>
        <v/>
      </c>
      <c r="N17" s="6">
        <f>HYPERLINK("https://github.com/Prateek-5/question-bank/blob/main/DSA/Topics/1_D_and_2_D_Arrays/learn/Range_Sum_Query_2D_Immutable.md","View Walkthrough ↗")</f>
        <v/>
      </c>
    </row>
    <row r="18">
      <c r="A18" s="2" t="n">
        <v>17</v>
      </c>
      <c r="B18" s="2" t="inlineStr">
        <is>
          <t>Phase 1 · Foundations</t>
        </is>
      </c>
      <c r="C18" s="2" t="inlineStr">
        <is>
          <t>📊 1-D &amp; 2-D Arrays</t>
        </is>
      </c>
      <c r="D18" s="2" t="inlineStr">
        <is>
          <t>Sorted 2D search</t>
        </is>
      </c>
      <c r="E18" s="2" t="n">
        <v>8</v>
      </c>
      <c r="F18" s="3" t="inlineStr">
        <is>
          <t>Must-do</t>
        </is>
      </c>
      <c r="G18" s="2" t="inlineStr">
        <is>
          <t>Search a 2D Matrix II</t>
        </is>
      </c>
      <c r="H18" s="4" t="inlineStr">
        <is>
          <t>Staircase search from top-right (or bottom-left). O(n+m).</t>
        </is>
      </c>
      <c r="I18" s="2" t="inlineStr">
        <is>
          <t>Skipped</t>
        </is>
      </c>
      <c r="J18" s="2" t="n"/>
      <c r="K18" s="2" t="n"/>
      <c r="L18" s="4" t="n"/>
      <c r="M18" s="6">
        <f>HYPERLINK("https://leetcode.com/problems/search-a-2d-matrix-ii/","Solve on LeetCode ↗")</f>
        <v/>
      </c>
      <c r="N18" s="6">
        <f>HYPERLINK("https://github.com/Prateek-5/question-bank/blob/main/DSA/Topics/1_D_and_2_D_Arrays/learn/Search_a_2D_Matrix_II.md","View Walkthrough ↗")</f>
        <v/>
      </c>
    </row>
    <row r="19">
      <c r="A19" s="2" t="n">
        <v>18</v>
      </c>
      <c r="B19" s="2" t="inlineStr">
        <is>
          <t>Phase 1 · Foundations</t>
        </is>
      </c>
      <c r="C19" s="2" t="inlineStr">
        <is>
          <t>🔍 Two Pointers</t>
        </is>
      </c>
      <c r="D19" s="2" t="inlineStr">
        <is>
          <t>Sorted-array opposing pointers</t>
        </is>
      </c>
      <c r="E19" s="2" t="n">
        <v>1</v>
      </c>
      <c r="F19" s="3" t="inlineStr">
        <is>
          <t>Must-do</t>
        </is>
      </c>
      <c r="G19" s="2" t="inlineStr">
        <is>
          <t>Two Sum II Input Array Is Sorted</t>
        </is>
      </c>
      <c r="H19" s="4" t="inlineStr">
        <is>
          <t>The template. `lo, hi`, move based on sum vs target.</t>
        </is>
      </c>
      <c r="I19" s="2" t="inlineStr">
        <is>
          <t>Solved</t>
        </is>
      </c>
      <c r="J19" s="2" t="n"/>
      <c r="K19" s="5" t="n">
        <v>46054</v>
      </c>
      <c r="L19" s="4" t="n"/>
      <c r="M19" s="6">
        <f>HYPERLINK("https://leetcode.com/problems/two-sum-ii-input-array-is-sorted/","Solve on LeetCode ↗")</f>
        <v/>
      </c>
      <c r="N19" s="6">
        <f>HYPERLINK("https://github.com/Prateek-5/question-bank/blob/main/DSA/Topics/Two_Pointers/learn/Two_Sum_II_Input_Array_Is_Sorted.md","View Walkthrough ↗")</f>
        <v/>
      </c>
    </row>
    <row r="20">
      <c r="A20" s="2" t="n">
        <v>19</v>
      </c>
      <c r="B20" s="2" t="inlineStr">
        <is>
          <t>Phase 1 · Foundations</t>
        </is>
      </c>
      <c r="C20" s="2" t="inlineStr">
        <is>
          <t>🔍 Two Pointers</t>
        </is>
      </c>
      <c r="D20" s="2" t="inlineStr">
        <is>
          <t>Sorted-array opposing pointers</t>
        </is>
      </c>
      <c r="E20" s="2" t="n">
        <v>2</v>
      </c>
      <c r="F20" s="3" t="inlineStr">
        <is>
          <t>Must-do</t>
        </is>
      </c>
      <c r="G20" s="2" t="inlineStr">
        <is>
          <t>Container With Most Water</t>
        </is>
      </c>
      <c r="H20" s="4" t="inlineStr">
        <is>
          <t>Same shape, different metric. Move the shorter side.</t>
        </is>
      </c>
      <c r="I20" s="2" t="inlineStr">
        <is>
          <t>Solved</t>
        </is>
      </c>
      <c r="J20" s="2" t="n"/>
      <c r="K20" s="5" t="n">
        <v>46053</v>
      </c>
      <c r="L20" s="4" t="n"/>
      <c r="M20" s="6">
        <f>HYPERLINK("https://leetcode.com/problems/container-with-most-water/","Solve on LeetCode ↗")</f>
        <v/>
      </c>
      <c r="N20" s="6">
        <f>HYPERLINK("https://github.com/Prateek-5/question-bank/blob/main/DSA/Topics/Two_Pointers/learn/Container_With_Most_Water.md","View Walkthrough ↗")</f>
        <v/>
      </c>
    </row>
    <row r="21">
      <c r="A21" s="2" t="n">
        <v>20</v>
      </c>
      <c r="B21" s="2" t="inlineStr">
        <is>
          <t>Phase 1 · Foundations</t>
        </is>
      </c>
      <c r="C21" s="2" t="inlineStr">
        <is>
          <t>🔍 Two Pointers</t>
        </is>
      </c>
      <c r="D21" s="2" t="inlineStr">
        <is>
          <t>k-sum family</t>
        </is>
      </c>
      <c r="E21" s="2" t="n">
        <v>3</v>
      </c>
      <c r="F21" s="3" t="inlineStr">
        <is>
          <t>Must-do</t>
        </is>
      </c>
      <c r="G21" s="2" t="inlineStr">
        <is>
          <t>3Sum</t>
        </is>
      </c>
      <c r="H21" s="4" t="inlineStr">
        <is>
          <t>Fix one, two-pointer the rest. Dedup carefully.</t>
        </is>
      </c>
      <c r="I21" s="2" t="inlineStr">
        <is>
          <t>Solved</t>
        </is>
      </c>
      <c r="J21" s="2" t="inlineStr">
        <is>
          <t>Yes</t>
        </is>
      </c>
      <c r="K21" s="5" t="n">
        <v>46054</v>
      </c>
      <c r="L21" s="4" t="n"/>
      <c r="M21" s="6">
        <f>HYPERLINK("https://leetcode.com/problems/3sum/","Solve on LeetCode ↗")</f>
        <v/>
      </c>
      <c r="N21" s="6">
        <f>HYPERLINK("https://github.com/Prateek-5/question-bank/blob/main/DSA/Topics/Two_Pointers/learn/3Sum.md","View Walkthrough ↗")</f>
        <v/>
      </c>
    </row>
    <row r="22">
      <c r="A22" s="2" t="n">
        <v>21</v>
      </c>
      <c r="B22" s="2" t="inlineStr">
        <is>
          <t>Phase 1 · Foundations</t>
        </is>
      </c>
      <c r="C22" s="2" t="inlineStr">
        <is>
          <t>🔍 Two Pointers</t>
        </is>
      </c>
      <c r="D22" s="2" t="inlineStr">
        <is>
          <t>Pair problems with constraints</t>
        </is>
      </c>
      <c r="E22" s="2" t="n">
        <v>4</v>
      </c>
      <c r="F22" s="2" t="inlineStr"/>
      <c r="G22" s="2" t="inlineStr">
        <is>
          <t>Minimize Maximum Pair Sum in Array</t>
        </is>
      </c>
      <c r="H22" s="4" t="inlineStr">
        <is>
          <t>Sort + pair from ends.</t>
        </is>
      </c>
      <c r="I22" s="2" t="inlineStr">
        <is>
          <t>Not Started</t>
        </is>
      </c>
      <c r="J22" s="2" t="inlineStr">
        <is>
          <t>Yes</t>
        </is>
      </c>
      <c r="K22" s="2" t="n"/>
      <c r="L22" s="4" t="n"/>
      <c r="M22" s="6">
        <f>HYPERLINK("https://leetcode.com/problems/minimize-maximum-pair-sum-in-array/description/","Solve on LeetCode ↗")</f>
        <v/>
      </c>
      <c r="N22" s="6">
        <f>HYPERLINK("https://github.com/Prateek-5/question-bank/blob/main/DSA/Topics/Two_Pointers/learn/Minimize_Maximum_Pair_Sum_in_Array.md","View Walkthrough ↗")</f>
        <v/>
      </c>
    </row>
    <row r="23">
      <c r="A23" s="2" t="n">
        <v>22</v>
      </c>
      <c r="B23" s="2" t="inlineStr">
        <is>
          <t>Phase 1 · Foundations</t>
        </is>
      </c>
      <c r="C23" s="2" t="inlineStr">
        <is>
          <t>🔍 Two Pointers</t>
        </is>
      </c>
      <c r="D23" s="2" t="inlineStr">
        <is>
          <t>Pair problems with constraints</t>
        </is>
      </c>
      <c r="E23" s="2" t="n">
        <v>5</v>
      </c>
      <c r="F23" s="2" t="inlineStr"/>
      <c r="G23" s="2" t="inlineStr">
        <is>
          <t>K diff Pairs in an Array</t>
        </is>
      </c>
      <c r="H23" s="4" t="inlineStr">
        <is>
          <t>Sorted two-pointer with difference target.</t>
        </is>
      </c>
      <c r="I23" s="2" t="inlineStr">
        <is>
          <t>Not Started</t>
        </is>
      </c>
      <c r="J23" s="2" t="inlineStr">
        <is>
          <t>Yes</t>
        </is>
      </c>
      <c r="K23" s="2" t="n"/>
      <c r="L23" s="4" t="n"/>
      <c r="M23" s="6">
        <f>HYPERLINK("https://leetcode.com/problems/k-diff-pairs-in-an-array/","Solve on LeetCode ↗")</f>
        <v/>
      </c>
      <c r="N23" s="6">
        <f>HYPERLINK("https://github.com/Prateek-5/question-bank/blob/main/DSA/Topics/Two_Pointers/learn/K_diff_Pairs_in_an_Array.md","View Walkthrough ↗")</f>
        <v/>
      </c>
    </row>
    <row r="24">
      <c r="A24" s="2" t="n">
        <v>23</v>
      </c>
      <c r="B24" s="2" t="inlineStr">
        <is>
          <t>Phase 1 · Foundations</t>
        </is>
      </c>
      <c r="C24" s="2" t="inlineStr">
        <is>
          <t>🔍 Two Pointers</t>
        </is>
      </c>
      <c r="D24" s="2" t="inlineStr">
        <is>
          <t>Two-pointer variant of a classic</t>
        </is>
      </c>
      <c r="E24" s="2" t="n">
        <v>6</v>
      </c>
      <c r="F24" s="2" t="inlineStr"/>
      <c r="G24" s="2" t="inlineStr">
        <is>
          <t>Trapping Rain Water</t>
        </is>
      </c>
      <c r="H24" s="4" t="inlineStr">
        <is>
          <t>Same problem as in `Arrays_and_Matrices/`, but solved with O(1) extra space via two pointers. Compare to the L/R precomputed version.</t>
        </is>
      </c>
      <c r="I24" s="2" t="inlineStr">
        <is>
          <t>Solved</t>
        </is>
      </c>
      <c r="J24" s="2" t="n"/>
      <c r="K24" s="5" t="n">
        <v>46053</v>
      </c>
      <c r="L24" s="4" t="n"/>
      <c r="M24" s="6">
        <f>HYPERLINK("https://leetcode.com/problems/trapping-rain-water/","Solve on LeetCode ↗")</f>
        <v/>
      </c>
      <c r="N24" s="6">
        <f>HYPERLINK("https://github.com/Prateek-5/question-bank/blob/main/DSA/Topics/Two_Pointers/learn/Trapping_Rain_Water.md","View Walkthrough ↗")</f>
        <v/>
      </c>
    </row>
    <row r="25">
      <c r="A25" s="2" t="n">
        <v>24</v>
      </c>
      <c r="B25" s="2" t="inlineStr">
        <is>
          <t>Phase 1 · Foundations</t>
        </is>
      </c>
      <c r="C25" s="2" t="inlineStr">
        <is>
          <t>🔍 Two Pointers</t>
        </is>
      </c>
      <c r="D25" s="2" t="inlineStr">
        <is>
          <t>Multi-pointer DP-flavored</t>
        </is>
      </c>
      <c r="E25" s="2" t="n">
        <v>7</v>
      </c>
      <c r="F25" s="2" t="inlineStr"/>
      <c r="G25" s="2" t="inlineStr">
        <is>
          <t>Ugly Number II</t>
        </is>
      </c>
      <c r="H25" s="4" t="inlineStr">
        <is>
          <t>Three pointers tracking ×2, ×3, ×5 progress. Atypical but illuminating.</t>
        </is>
      </c>
      <c r="I25" s="2" t="inlineStr">
        <is>
          <t>Not Started</t>
        </is>
      </c>
      <c r="J25" s="2" t="inlineStr">
        <is>
          <t>Yes</t>
        </is>
      </c>
      <c r="K25" s="2" t="n"/>
      <c r="L25" s="4" t="n"/>
      <c r="M25" s="6">
        <f>HYPERLINK("https://leetcode.com/problems/ugly-number-ii/","Solve on LeetCode ↗")</f>
        <v/>
      </c>
      <c r="N25" s="6">
        <f>HYPERLINK("https://github.com/Prateek-5/question-bank/blob/main/DSA/Topics/Two_Pointers/learn/Ugly_Number_II.md","View Walkthrough ↗")</f>
        <v/>
      </c>
    </row>
    <row r="26">
      <c r="A26" s="2" t="n">
        <v>25</v>
      </c>
      <c r="B26" s="2" t="inlineStr">
        <is>
          <t>Phase 1 · Foundations</t>
        </is>
      </c>
      <c r="C26" s="2" t="inlineStr">
        <is>
          <t>🧮 Hashing / Sliding Window</t>
        </is>
      </c>
      <c r="D26" s="2" t="inlineStr">
        <is>
          <t>Hash for frequency</t>
        </is>
      </c>
      <c r="E26" s="2" t="n">
        <v>1</v>
      </c>
      <c r="F26" s="3" t="inlineStr">
        <is>
          <t>Must-do</t>
        </is>
      </c>
      <c r="G26" s="2" t="inlineStr">
        <is>
          <t>Valid Anagram</t>
        </is>
      </c>
      <c r="H26" s="4" t="inlineStr">
        <is>
          <t>Char count map.</t>
        </is>
      </c>
      <c r="I26" s="2" t="inlineStr">
        <is>
          <t>Solved</t>
        </is>
      </c>
      <c r="J26" s="2" t="inlineStr">
        <is>
          <t>Yes</t>
        </is>
      </c>
      <c r="K26" s="5" t="n">
        <v>46168</v>
      </c>
      <c r="L26" s="4" t="n"/>
      <c r="M26" s="6">
        <f>HYPERLINK("https://leetcode.com/problems/valid-anagram/","Solve on LeetCode ↗")</f>
        <v/>
      </c>
      <c r="N26" s="6">
        <f>HYPERLINK("https://github.com/Prateek-5/question-bank/blob/main/DSA/Topics/Hashing_Sliding_Window/learn/Valid_Anagram.md","View Walkthrough ↗")</f>
        <v/>
      </c>
    </row>
    <row r="27">
      <c r="A27" s="2" t="n">
        <v>26</v>
      </c>
      <c r="B27" s="2" t="inlineStr">
        <is>
          <t>Phase 1 · Foundations</t>
        </is>
      </c>
      <c r="C27" s="2" t="inlineStr">
        <is>
          <t>🧮 Hashing / Sliding Window</t>
        </is>
      </c>
      <c r="D27" s="2" t="inlineStr">
        <is>
          <t>Multi-key hash</t>
        </is>
      </c>
      <c r="E27" s="2" t="n">
        <v>2</v>
      </c>
      <c r="F27" s="3" t="inlineStr">
        <is>
          <t>Must-do</t>
        </is>
      </c>
      <c r="G27" s="2" t="inlineStr">
        <is>
          <t>Valid Sudoku</t>
        </is>
      </c>
      <c r="H27" s="4" t="inlineStr">
        <is>
          <t>Three sets per category (row, col, box).</t>
        </is>
      </c>
      <c r="I27" s="2" t="inlineStr">
        <is>
          <t>Solved</t>
        </is>
      </c>
      <c r="J27" s="2" t="inlineStr">
        <is>
          <t>Yes</t>
        </is>
      </c>
      <c r="K27" s="5" t="n">
        <v>46168</v>
      </c>
      <c r="L27" s="4" t="n"/>
      <c r="M27" s="6">
        <f>HYPERLINK("https://leetcode.com/problems/valid-sudoku/","Solve on LeetCode ↗")</f>
        <v/>
      </c>
      <c r="N27" s="6">
        <f>HYPERLINK("https://github.com/Prateek-5/question-bank/blob/main/DSA/Topics/Hashing_Sliding_Window/learn/Valid_Sudoku.md","View Walkthrough ↗")</f>
        <v/>
      </c>
    </row>
    <row r="28">
      <c r="A28" s="2" t="n">
        <v>27</v>
      </c>
      <c r="B28" s="2" t="inlineStr">
        <is>
          <t>Phase 1 · Foundations</t>
        </is>
      </c>
      <c r="C28" s="2" t="inlineStr">
        <is>
          <t>🧮 Hashing / Sliding Window</t>
        </is>
      </c>
      <c r="D28" s="2" t="inlineStr">
        <is>
          <t>Prefix sum + hash (subarray-sum)</t>
        </is>
      </c>
      <c r="E28" s="2" t="n">
        <v>3</v>
      </c>
      <c r="F28" s="3" t="inlineStr">
        <is>
          <t>Must-do</t>
        </is>
      </c>
      <c r="G28" s="2" t="inlineStr">
        <is>
          <t>Subarray Sum Equals K</t>
        </is>
      </c>
      <c r="H28" s="4" t="inlineStr">
        <is>
          <t>`count[prefix - k]`. THE canonical pattern.</t>
        </is>
      </c>
      <c r="I28" s="2" t="inlineStr">
        <is>
          <t>Skipped</t>
        </is>
      </c>
      <c r="J28" s="2" t="n"/>
      <c r="K28" s="2" t="n"/>
      <c r="L28" s="4" t="n"/>
      <c r="M28" s="6">
        <f>HYPERLINK("https://leetcode.com/problems/subarray-sum-equals-k/","Solve on LeetCode ↗")</f>
        <v/>
      </c>
      <c r="N28" s="6">
        <f>HYPERLINK("https://github.com/Prateek-5/question-bank/blob/main/DSA/Topics/Hashing_Sliding_Window/learn/Subarray_Sum_Equals_K.md","View Walkthrough ↗")</f>
        <v/>
      </c>
    </row>
    <row r="29">
      <c r="A29" s="2" t="n">
        <v>28</v>
      </c>
      <c r="B29" s="2" t="inlineStr">
        <is>
          <t>Phase 1 · Foundations</t>
        </is>
      </c>
      <c r="C29" s="2" t="inlineStr">
        <is>
          <t>🧮 Hashing / Sliding Window</t>
        </is>
      </c>
      <c r="D29" s="2" t="inlineStr">
        <is>
          <t>Prefix sum + hash (subarray-sum)</t>
        </is>
      </c>
      <c r="E29" s="2" t="n">
        <v>4</v>
      </c>
      <c r="F29" s="2" t="inlineStr"/>
      <c r="G29" s="2" t="inlineStr">
        <is>
          <t>Maximum Size Subarray Sum Equals K</t>
        </is>
      </c>
      <c r="H29" s="4" t="inlineStr">
        <is>
          <t>Variant: track first occurrence for max length.</t>
        </is>
      </c>
      <c r="I29" s="2" t="inlineStr">
        <is>
          <t>Skipped</t>
        </is>
      </c>
      <c r="J29" s="2" t="n"/>
      <c r="K29" s="2" t="n"/>
      <c r="L29" s="4" t="n"/>
      <c r="M29" s="6">
        <f>HYPERLINK("https://leetcode.com/problems/maximum-size-subarray-sum-equals-k/","Solve on LeetCode ↗")</f>
        <v/>
      </c>
      <c r="N29" s="6">
        <f>HYPERLINK("https://github.com/Prateek-5/question-bank/blob/main/DSA/Topics/Hashing_Sliding_Window/learn/Maximum_Size_Subarray_Sum_Equals_K.md","View Walkthrough ↗")</f>
        <v/>
      </c>
    </row>
    <row r="30">
      <c r="A30" s="2" t="n">
        <v>29</v>
      </c>
      <c r="B30" s="2" t="inlineStr">
        <is>
          <t>Phase 1 · Foundations</t>
        </is>
      </c>
      <c r="C30" s="2" t="inlineStr">
        <is>
          <t>🧮 Hashing / Sliding Window</t>
        </is>
      </c>
      <c r="D30" s="2" t="inlineStr">
        <is>
          <t>Prefix sum + hash (subarray-sum)</t>
        </is>
      </c>
      <c r="E30" s="2" t="n">
        <v>5</v>
      </c>
      <c r="F30" s="2" t="inlineStr"/>
      <c r="G30" s="2" t="inlineStr">
        <is>
          <t>Largest Subarray With 0 Sum</t>
        </is>
      </c>
      <c r="H30" s="4" t="inlineStr">
        <is>
          <t>Same idea, target = 0.</t>
        </is>
      </c>
      <c r="I30" s="2" t="inlineStr">
        <is>
          <t>Skipped</t>
        </is>
      </c>
      <c r="J30" s="2" t="n"/>
      <c r="K30" s="2" t="n"/>
      <c r="L30" s="4" t="n"/>
      <c r="M30" s="6">
        <f>HYPERLINK("https://www.geeksforgeeks.org/problems/largest-subarray-with-0-sum/1","Solve on LeetCode ↗")</f>
        <v/>
      </c>
      <c r="N30" s="6">
        <f>HYPERLINK("https://github.com/Prateek-5/question-bank/blob/main/DSA/Topics/Hashing_Sliding_Window/learn/Largest_Subarray_With_0_Sum.md","View Walkthrough ↗")</f>
        <v/>
      </c>
    </row>
    <row r="31">
      <c r="A31" s="2" t="n">
        <v>30</v>
      </c>
      <c r="B31" s="2" t="inlineStr">
        <is>
          <t>Phase 1 · Foundations</t>
        </is>
      </c>
      <c r="C31" s="2" t="inlineStr">
        <is>
          <t>🧮 Hashing / Sliding Window</t>
        </is>
      </c>
      <c r="D31" s="2" t="inlineStr">
        <is>
          <t>Set-based</t>
        </is>
      </c>
      <c r="E31" s="2" t="n">
        <v>6</v>
      </c>
      <c r="F31" s="3" t="inlineStr">
        <is>
          <t>Must-do</t>
        </is>
      </c>
      <c r="G31" s="2" t="inlineStr">
        <is>
          <t>Longest Consecutive Sequence</t>
        </is>
      </c>
      <c r="H31" s="4" t="inlineStr">
        <is>
          <t>Build set, start only at run-beginnings (where `n-1` not in set). O(n).</t>
        </is>
      </c>
      <c r="I31" s="2" t="inlineStr">
        <is>
          <t>Skipped</t>
        </is>
      </c>
      <c r="J31" s="2" t="n"/>
      <c r="K31" s="2" t="n"/>
      <c r="L31" s="4" t="n"/>
      <c r="M31" s="6">
        <f>HYPERLINK("https://leetcode.com/problems/longest-consecutive-sequence/","Solve on LeetCode ↗")</f>
        <v/>
      </c>
      <c r="N31" s="6">
        <f>HYPERLINK("https://github.com/Prateek-5/question-bank/blob/main/DSA/Topics/Hashing_Sliding_Window/learn/Longest_Consecutive_Sequence.md","View Walkthrough ↗")</f>
        <v/>
      </c>
    </row>
    <row r="32">
      <c r="A32" s="2" t="n">
        <v>31</v>
      </c>
      <c r="B32" s="2" t="inlineStr">
        <is>
          <t>Phase 1 · Foundations</t>
        </is>
      </c>
      <c r="C32" s="2" t="inlineStr">
        <is>
          <t>🧮 Hashing / Sliding Window</t>
        </is>
      </c>
      <c r="D32" s="2" t="inlineStr">
        <is>
          <t>Sliding window — variable size</t>
        </is>
      </c>
      <c r="E32" s="2" t="n">
        <v>7</v>
      </c>
      <c r="F32" s="3" t="inlineStr">
        <is>
          <t>Must-do</t>
        </is>
      </c>
      <c r="G32" s="2" t="inlineStr">
        <is>
          <t>Longest Substring Without Repeating Characters</t>
        </is>
      </c>
      <c r="H32" s="4" t="inlineStr">
        <is>
          <t>Window + last-index map.</t>
        </is>
      </c>
      <c r="I32" s="2" t="inlineStr">
        <is>
          <t>Skipped</t>
        </is>
      </c>
      <c r="J32" s="2" t="n"/>
      <c r="K32" s="2" t="n"/>
      <c r="L32" s="4" t="n"/>
      <c r="M32" s="6">
        <f>HYPERLINK("https://leetcode.com/problems/longest-substring-without-repeating-characters/","Solve on LeetCode ↗")</f>
        <v/>
      </c>
      <c r="N32" s="6">
        <f>HYPERLINK("https://github.com/Prateek-5/question-bank/blob/main/DSA/Topics/Hashing_Sliding_Window/learn/Longest_Substring_Without_Repeating_Characters.md","View Walkthrough ↗")</f>
        <v/>
      </c>
    </row>
    <row r="33">
      <c r="A33" s="2" t="n">
        <v>32</v>
      </c>
      <c r="B33" s="2" t="inlineStr">
        <is>
          <t>Phase 1 · Foundations</t>
        </is>
      </c>
      <c r="C33" s="2" t="inlineStr">
        <is>
          <t>🧮 Hashing / Sliding Window</t>
        </is>
      </c>
      <c r="D33" s="2" t="inlineStr">
        <is>
          <t>Sliding window — variable size</t>
        </is>
      </c>
      <c r="E33" s="2" t="n">
        <v>8</v>
      </c>
      <c r="F33" s="2" t="inlineStr"/>
      <c r="G33" s="2" t="inlineStr">
        <is>
          <t>Minimum Window Substring</t>
        </is>
      </c>
      <c r="H33" s="4" t="inlineStr">
        <is>
          <t>Window + need-count + satisfied counter. The hardest window template.</t>
        </is>
      </c>
      <c r="I33" s="2" t="inlineStr">
        <is>
          <t>Skipped</t>
        </is>
      </c>
      <c r="J33" s="2" t="n"/>
      <c r="K33" s="2" t="n"/>
      <c r="L33" s="4" t="n"/>
      <c r="M33" s="6">
        <f>HYPERLINK("https://leetcode.com/problems/minimum-window-substring/","Solve on LeetCode ↗")</f>
        <v/>
      </c>
      <c r="N33" s="6">
        <f>HYPERLINK("https://github.com/Prateek-5/question-bank/blob/main/DSA/Topics/Hashing_Sliding_Window/learn/Minimum_Window_Substring.md","View Walkthrough ↗")</f>
        <v/>
      </c>
    </row>
    <row r="34">
      <c r="A34" s="2" t="n">
        <v>33</v>
      </c>
      <c r="B34" s="2" t="inlineStr">
        <is>
          <t>Phase 1 · Foundations</t>
        </is>
      </c>
      <c r="C34" s="2" t="inlineStr">
        <is>
          <t>🧮 Hashing / Sliding Window</t>
        </is>
      </c>
      <c r="D34" s="2" t="inlineStr">
        <is>
          <t>Hash + clever insight</t>
        </is>
      </c>
      <c r="E34" s="2" t="n">
        <v>9</v>
      </c>
      <c r="F34" s="2" t="inlineStr"/>
      <c r="G34" s="2" t="inlineStr">
        <is>
          <t>Palindrome Pairs</t>
        </is>
      </c>
      <c r="H34" s="4" t="inlineStr">
        <is>
          <t>Map word → index; for each word, check splits where one side is palindrome and other reversed exists.</t>
        </is>
      </c>
      <c r="I34" s="2" t="inlineStr">
        <is>
          <t>Skipped</t>
        </is>
      </c>
      <c r="J34" s="2" t="n"/>
      <c r="K34" s="2" t="n"/>
      <c r="L34" s="4" t="n"/>
      <c r="M34" s="6">
        <f>HYPERLINK("https://leetcode.com/problems/palindrome-pairs/","Solve on LeetCode ↗")</f>
        <v/>
      </c>
      <c r="N34" s="6">
        <f>HYPERLINK("https://github.com/Prateek-5/question-bank/blob/main/DSA/Topics/Hashing_Sliding_Window/learn/Palindrome_Pairs.md","View Walkthrough ↗")</f>
        <v/>
      </c>
    </row>
    <row r="35">
      <c r="A35" s="2" t="n">
        <v>34</v>
      </c>
      <c r="B35" s="2" t="inlineStr">
        <is>
          <t>Phase 1 · Foundations</t>
        </is>
      </c>
      <c r="C35" s="2" t="inlineStr">
        <is>
          <t>🧮 Hashing / Sliding Window</t>
        </is>
      </c>
      <c r="D35" s="2" t="inlineStr">
        <is>
          <t>Hash + clever insight</t>
        </is>
      </c>
      <c r="E35" s="2" t="n">
        <v>10</v>
      </c>
      <c r="F35" s="2" t="inlineStr"/>
      <c r="G35" s="2" t="inlineStr">
        <is>
          <t>Max Points on a Line</t>
        </is>
      </c>
      <c r="H35" s="4" t="inlineStr">
        <is>
          <t>Slope hash; tricky equal-points and vertical-line edge cases.</t>
        </is>
      </c>
      <c r="I35" s="2" t="inlineStr">
        <is>
          <t>Skipped</t>
        </is>
      </c>
      <c r="J35" s="2" t="n"/>
      <c r="K35" s="2" t="n"/>
      <c r="L35" s="4" t="n"/>
      <c r="M35" s="6">
        <f>HYPERLINK("https://leetcode.com/problems/max-points-on-a-line/","Solve on LeetCode ↗")</f>
        <v/>
      </c>
      <c r="N35" s="6">
        <f>HYPERLINK("https://github.com/Prateek-5/question-bank/blob/main/DSA/Topics/Hashing_Sliding_Window/learn/Max_Points_on_a_Line.md","View Walkthrough ↗")</f>
        <v/>
      </c>
    </row>
    <row r="36">
      <c r="A36" s="2" t="n">
        <v>35</v>
      </c>
      <c r="B36" s="2" t="inlineStr">
        <is>
          <t>Phase 1 · Foundations</t>
        </is>
      </c>
      <c r="C36" s="2" t="inlineStr">
        <is>
          <t>📚 Stack</t>
        </is>
      </c>
      <c r="D36" s="2" t="inlineStr">
        <is>
          <t>Balanced parens / string simulation</t>
        </is>
      </c>
      <c r="E36" s="2" t="n">
        <v>1</v>
      </c>
      <c r="F36" s="3" t="inlineStr">
        <is>
          <t>Must-do</t>
        </is>
      </c>
      <c r="G36" s="2" t="inlineStr">
        <is>
          <t>Valid Parentheses</t>
        </is>
      </c>
      <c r="H36" s="4" t="inlineStr">
        <is>
          <t>The hello-world of stacks. Push openers, match on closers.</t>
        </is>
      </c>
      <c r="I36" s="2" t="inlineStr">
        <is>
          <t>Solved</t>
        </is>
      </c>
      <c r="J36" s="2" t="n"/>
      <c r="K36" s="5" t="n">
        <v>46168</v>
      </c>
      <c r="L36" s="4" t="n"/>
      <c r="M36" s="6">
        <f>HYPERLINK("https://leetcode.com/problems/valid-parentheses/","Solve on LeetCode ↗")</f>
        <v/>
      </c>
      <c r="N36" s="6">
        <f>HYPERLINK("https://github.com/Prateek-5/question-bank/blob/main/DSA/Topics/Stack/learn/Valid_Parentheses.md","View Walkthrough ↗")</f>
        <v/>
      </c>
    </row>
    <row r="37">
      <c r="A37" s="2" t="n">
        <v>36</v>
      </c>
      <c r="B37" s="2" t="inlineStr">
        <is>
          <t>Phase 1 · Foundations</t>
        </is>
      </c>
      <c r="C37" s="2" t="inlineStr">
        <is>
          <t>📚 Stack</t>
        </is>
      </c>
      <c r="D37" s="2" t="inlineStr">
        <is>
          <t>Balanced parens / string simulation</t>
        </is>
      </c>
      <c r="E37" s="2" t="n">
        <v>2</v>
      </c>
      <c r="F37" s="2" t="inlineStr"/>
      <c r="G37" s="2" t="inlineStr">
        <is>
          <t>Remove Outermost Parentheses</t>
        </is>
      </c>
      <c r="H37" s="4" t="inlineStr">
        <is>
          <t>Depth counter (a stack of size 1 conceptually).</t>
        </is>
      </c>
      <c r="I37" s="2" t="inlineStr">
        <is>
          <t>Skipped</t>
        </is>
      </c>
      <c r="J37" s="2" t="n"/>
      <c r="K37" s="2" t="n"/>
      <c r="L37" s="4" t="n"/>
      <c r="M37" s="6">
        <f>HYPERLINK("https://leetcode.com/problems/remove-outermost-parentheses/","Solve on LeetCode ↗")</f>
        <v/>
      </c>
      <c r="N37" s="6">
        <f>HYPERLINK("https://github.com/Prateek-5/question-bank/blob/main/DSA/Topics/Stack/learn/Remove_Outermost_Parentheses.md","View Walkthrough ↗")</f>
        <v/>
      </c>
    </row>
    <row r="38">
      <c r="A38" s="2" t="n">
        <v>37</v>
      </c>
      <c r="B38" s="2" t="inlineStr">
        <is>
          <t>Phase 1 · Foundations</t>
        </is>
      </c>
      <c r="C38" s="2" t="inlineStr">
        <is>
          <t>📚 Stack</t>
        </is>
      </c>
      <c r="D38" s="2" t="inlineStr">
        <is>
          <t>Balanced parens / string simulation</t>
        </is>
      </c>
      <c r="E38" s="2" t="n">
        <v>3</v>
      </c>
      <c r="F38" s="3" t="inlineStr">
        <is>
          <t>Must-do</t>
        </is>
      </c>
      <c r="G38" s="2" t="inlineStr">
        <is>
          <t>Remove All Adjacent Duplicates in String</t>
        </is>
      </c>
      <c r="H38" s="4" t="inlineStr">
        <is>
          <t>Stack of chars; pop on match.</t>
        </is>
      </c>
      <c r="I38" s="2" t="inlineStr">
        <is>
          <t>Solved</t>
        </is>
      </c>
      <c r="J38" s="2" t="n"/>
      <c r="K38" s="5" t="n">
        <v>46168</v>
      </c>
      <c r="L38" s="4" t="n"/>
      <c r="M38" s="6">
        <f>HYPERLINK("https://leetcode.com/problems/remove-all-adjacent-duplicates-in-string/","Solve on LeetCode ↗")</f>
        <v/>
      </c>
      <c r="N38" s="6">
        <f>HYPERLINK("https://github.com/Prateek-5/question-bank/blob/main/DSA/Topics/Stack/learn/Remove_All_Adjacent_Duplicates_in_String.md","View Walkthrough ↗")</f>
        <v/>
      </c>
    </row>
    <row r="39">
      <c r="A39" s="2" t="n">
        <v>38</v>
      </c>
      <c r="B39" s="2" t="inlineStr">
        <is>
          <t>Phase 1 · Foundations</t>
        </is>
      </c>
      <c r="C39" s="2" t="inlineStr">
        <is>
          <t>📚 Stack</t>
        </is>
      </c>
      <c r="D39" s="2" t="inlineStr">
        <is>
          <t>Stack design</t>
        </is>
      </c>
      <c r="E39" s="2" t="n">
        <v>4</v>
      </c>
      <c r="F39" s="3" t="inlineStr">
        <is>
          <t>Must-do</t>
        </is>
      </c>
      <c r="G39" s="2" t="inlineStr">
        <is>
          <t>Min Stack</t>
        </is>
      </c>
      <c r="H39" s="4" t="inlineStr">
        <is>
          <t>Auxiliary stack tracking min so far. O(1) min.</t>
        </is>
      </c>
      <c r="I39" s="2" t="inlineStr">
        <is>
          <t>Skipped</t>
        </is>
      </c>
      <c r="J39" s="2" t="n"/>
      <c r="K39" s="2" t="n"/>
      <c r="L39" s="4" t="n"/>
      <c r="M39" s="6">
        <f>HYPERLINK("https://leetcode.com/problems/min-stack/","Solve on LeetCode ↗")</f>
        <v/>
      </c>
      <c r="N39" s="6">
        <f>HYPERLINK("https://github.com/Prateek-5/question-bank/blob/main/DSA/Topics/Stack/learn/Min_Stack.md","View Walkthrough ↗")</f>
        <v/>
      </c>
    </row>
    <row r="40">
      <c r="A40" s="2" t="n">
        <v>39</v>
      </c>
      <c r="B40" s="2" t="inlineStr">
        <is>
          <t>Phase 1 · Foundations</t>
        </is>
      </c>
      <c r="C40" s="2" t="inlineStr">
        <is>
          <t>📚 Stack</t>
        </is>
      </c>
      <c r="D40" s="2" t="inlineStr">
        <is>
          <t>Expression eval</t>
        </is>
      </c>
      <c r="E40" s="2" t="n">
        <v>5</v>
      </c>
      <c r="F40" s="2" t="inlineStr"/>
      <c r="G40" s="2" t="inlineStr">
        <is>
          <t>Baseball Game</t>
        </is>
      </c>
      <c r="H40" s="4" t="inlineStr">
        <is>
          <t>Stack of scores; operations transform top elements.</t>
        </is>
      </c>
      <c r="I40" s="2" t="inlineStr">
        <is>
          <t>Solved</t>
        </is>
      </c>
      <c r="J40" s="2" t="inlineStr">
        <is>
          <t>Yes</t>
        </is>
      </c>
      <c r="K40" s="5" t="n">
        <v>46168</v>
      </c>
      <c r="L40" s="4" t="n"/>
      <c r="M40" s="6">
        <f>HYPERLINK("https://leetcode.com/problems/baseball-game/","Solve on LeetCode ↗")</f>
        <v/>
      </c>
      <c r="N40" s="6">
        <f>HYPERLINK("https://github.com/Prateek-5/question-bank/blob/main/DSA/Topics/Stack/learn/Baseball_Game.md","View Walkthrough ↗")</f>
        <v/>
      </c>
    </row>
    <row r="41">
      <c r="A41" s="2" t="n">
        <v>40</v>
      </c>
      <c r="B41" s="2" t="inlineStr">
        <is>
          <t>Phase 1 · Foundations</t>
        </is>
      </c>
      <c r="C41" s="2" t="inlineStr">
        <is>
          <t>📚 Stack</t>
        </is>
      </c>
      <c r="D41" s="2" t="inlineStr">
        <is>
          <t>Expression eval</t>
        </is>
      </c>
      <c r="E41" s="2" t="n">
        <v>6</v>
      </c>
      <c r="F41" s="3" t="inlineStr">
        <is>
          <t>Must-do</t>
        </is>
      </c>
      <c r="G41" s="2" t="inlineStr">
        <is>
          <t>Evaluate Reverse Polish Notation</t>
        </is>
      </c>
      <c r="H41" s="4" t="inlineStr">
        <is>
          <t>Postfix → stack of operands.</t>
        </is>
      </c>
      <c r="I41" s="2" t="inlineStr">
        <is>
          <t>Solved</t>
        </is>
      </c>
      <c r="J41" s="2" t="n"/>
      <c r="K41" s="5" t="n">
        <v>46168</v>
      </c>
      <c r="L41" s="4" t="n"/>
      <c r="M41" s="6">
        <f>HYPERLINK("https://leetcode.com/problems/evaluate-reverse-polish-notation/","Solve on LeetCode ↗")</f>
        <v/>
      </c>
      <c r="N41" s="6">
        <f>HYPERLINK("https://github.com/Prateek-5/question-bank/blob/main/DSA/Topics/Stack/learn/Evaluate_Reverse_Polish_Notation.md","View Walkthrough ↗")</f>
        <v/>
      </c>
    </row>
    <row r="42">
      <c r="A42" s="2" t="n">
        <v>41</v>
      </c>
      <c r="B42" s="2" t="inlineStr">
        <is>
          <t>Phase 1 · Foundations</t>
        </is>
      </c>
      <c r="C42" s="2" t="inlineStr">
        <is>
          <t>📚 Stack</t>
        </is>
      </c>
      <c r="D42" s="2" t="inlineStr">
        <is>
          <t>Expression eval</t>
        </is>
      </c>
      <c r="E42" s="2" t="n">
        <v>7</v>
      </c>
      <c r="F42" s="2" t="inlineStr"/>
      <c r="G42" s="2" t="inlineStr">
        <is>
          <t>Expression Contains Redundant Bracket or Not</t>
        </is>
      </c>
      <c r="H42" s="4" t="inlineStr">
        <is>
          <t>Detect `(...)` with no operator inside.</t>
        </is>
      </c>
      <c r="I42" s="2" t="inlineStr">
        <is>
          <t>Skipped</t>
        </is>
      </c>
      <c r="J42" s="2" t="n"/>
      <c r="K42" s="2" t="n"/>
      <c r="L42" s="4" t="n"/>
      <c r="M42" s="6">
        <f>HYPERLINK("https://www.geeksforgeeks.org/problems/expression-contains-redundant-bracket-or-not/1","Solve on LeetCode ↗")</f>
        <v/>
      </c>
      <c r="N42" s="6">
        <f>HYPERLINK("https://github.com/Prateek-5/question-bank/blob/main/DSA/Topics/Stack/learn/Expression_Contains_Redundant_Bracket_or_Not.md","View Walkthrough ↗")</f>
        <v/>
      </c>
    </row>
    <row r="43">
      <c r="A43" s="2" t="n">
        <v>42</v>
      </c>
      <c r="B43" s="2" t="inlineStr">
        <is>
          <t>Phase 1 · Foundations</t>
        </is>
      </c>
      <c r="C43" s="2" t="inlineStr">
        <is>
          <t>📚 Stack</t>
        </is>
      </c>
      <c r="D43" s="2" t="inlineStr">
        <is>
          <t>Monotonic stack</t>
        </is>
      </c>
      <c r="E43" s="2" t="n">
        <v>8</v>
      </c>
      <c r="F43" s="3" t="inlineStr">
        <is>
          <t>Must-do</t>
        </is>
      </c>
      <c r="G43" s="2" t="inlineStr">
        <is>
          <t>Next Greater Element I</t>
        </is>
      </c>
      <c r="H43" s="4" t="inlineStr">
        <is>
          <t>Build NGE for nums2 via decreasing stack, look up for nums1. The template.</t>
        </is>
      </c>
      <c r="I43" s="2" t="inlineStr">
        <is>
          <t>Solved</t>
        </is>
      </c>
      <c r="J43" s="2" t="inlineStr">
        <is>
          <t>Yes</t>
        </is>
      </c>
      <c r="K43" s="5" t="n">
        <v>46169</v>
      </c>
      <c r="L43" s="4" t="n"/>
      <c r="M43" s="6">
        <f>HYPERLINK("https://leetcode.com/problems/next-greater-element-i/","Solve on LeetCode ↗")</f>
        <v/>
      </c>
      <c r="N43" s="6">
        <f>HYPERLINK("https://github.com/Prateek-5/question-bank/blob/main/DSA/Topics/Stack/learn/Next_Greater_Element_I.md","View Walkthrough ↗")</f>
        <v/>
      </c>
    </row>
    <row r="44">
      <c r="A44" s="2" t="n">
        <v>43</v>
      </c>
      <c r="B44" s="2" t="inlineStr">
        <is>
          <t>Phase 1 · Foundations</t>
        </is>
      </c>
      <c r="C44" s="2" t="inlineStr">
        <is>
          <t>📚 Stack</t>
        </is>
      </c>
      <c r="D44" s="2" t="inlineStr">
        <is>
          <t>Monotonic stack</t>
        </is>
      </c>
      <c r="E44" s="2" t="n">
        <v>9</v>
      </c>
      <c r="F44" s="3" t="inlineStr">
        <is>
          <t>Must-do</t>
        </is>
      </c>
      <c r="G44" s="2" t="inlineStr">
        <is>
          <t>Daily Temperatures</t>
        </is>
      </c>
      <c r="H44" s="4" t="inlineStr">
        <is>
          <t>NGE returning distance.</t>
        </is>
      </c>
      <c r="I44" s="2" t="inlineStr">
        <is>
          <t>Solved</t>
        </is>
      </c>
      <c r="J44" s="2" t="inlineStr">
        <is>
          <t>Yes</t>
        </is>
      </c>
      <c r="K44" s="5" t="n">
        <v>46169</v>
      </c>
      <c r="L44" s="4" t="n"/>
      <c r="M44" s="6">
        <f>HYPERLINK("https://leetcode.com/problems/daily-temperatures/","Solve on LeetCode ↗")</f>
        <v/>
      </c>
      <c r="N44" s="6">
        <f>HYPERLINK("https://github.com/Prateek-5/question-bank/blob/main/DSA/Topics/Stack/learn/Daily_Temperatures.md","View Walkthrough ↗")</f>
        <v/>
      </c>
    </row>
    <row r="45">
      <c r="A45" s="2" t="n">
        <v>44</v>
      </c>
      <c r="B45" s="2" t="inlineStr">
        <is>
          <t>Phase 1 · Foundations</t>
        </is>
      </c>
      <c r="C45" s="2" t="inlineStr">
        <is>
          <t>📚 Stack</t>
        </is>
      </c>
      <c r="D45" s="2" t="inlineStr">
        <is>
          <t>Monotonic stack</t>
        </is>
      </c>
      <c r="E45" s="2" t="n">
        <v>10</v>
      </c>
      <c r="F45" s="3" t="inlineStr">
        <is>
          <t>Must-do</t>
        </is>
      </c>
      <c r="G45" s="2" t="inlineStr">
        <is>
          <t>Largest Rectangle in Histogram</t>
        </is>
      </c>
      <c r="H45" s="4" t="inlineStr">
        <is>
          <t>Increasing stack; on pop compute area with current index as right boundary. THE classic.</t>
        </is>
      </c>
      <c r="I45" s="2" t="inlineStr">
        <is>
          <t>Skipped</t>
        </is>
      </c>
      <c r="J45" s="2" t="n"/>
      <c r="K45" s="2" t="n"/>
      <c r="L45" s="4" t="n"/>
      <c r="M45" s="6">
        <f>HYPERLINK("https://leetcode.com/problems/largest-rectangle-in-histogram/","Solve on LeetCode ↗")</f>
        <v/>
      </c>
      <c r="N45" s="6">
        <f>HYPERLINK("https://github.com/Prateek-5/question-bank/blob/main/DSA/Topics/Stack/learn/Largest_Rectangle_in_Histogram.md","View Walkthrough ↗")</f>
        <v/>
      </c>
    </row>
    <row r="46">
      <c r="A46" s="2" t="n">
        <v>45</v>
      </c>
      <c r="B46" s="2" t="inlineStr">
        <is>
          <t>Phase 1 · Foundations</t>
        </is>
      </c>
      <c r="C46" s="2" t="inlineStr">
        <is>
          <t>🔗 Linked List</t>
        </is>
      </c>
      <c r="D46" s="2" t="inlineStr">
        <is>
          <t>Design — implement the API</t>
        </is>
      </c>
      <c r="E46" s="2" t="n">
        <v>1</v>
      </c>
      <c r="F46" s="3" t="inlineStr">
        <is>
          <t>Must-do</t>
        </is>
      </c>
      <c r="G46" s="2" t="inlineStr">
        <is>
          <t>Design Linked List</t>
        </is>
      </c>
      <c r="H46" s="4" t="inlineStr">
        <is>
          <t>Build it yourself: `addAtHead`, `addAtTail`, `addAtIndex`, `get`, `delete`. Establishes every primitive you'll use later.</t>
        </is>
      </c>
      <c r="I46" s="2" t="inlineStr">
        <is>
          <t>Skipped</t>
        </is>
      </c>
      <c r="J46" s="2" t="n"/>
      <c r="K46" s="2" t="n"/>
      <c r="L46" s="4" t="n"/>
      <c r="M46" s="6">
        <f>HYPERLINK("https://leetcode.com/problems/design-linked-list/","Solve on LeetCode ↗")</f>
        <v/>
      </c>
      <c r="N46" s="6">
        <f>HYPERLINK("https://github.com/Prateek-5/question-bank/blob/main/DSA/Topics/Linked_List/learn/Design_Linked_List.md","View Walkthrough ↗")</f>
        <v/>
      </c>
    </row>
    <row r="47">
      <c r="A47" s="2" t="n">
        <v>46</v>
      </c>
      <c r="B47" s="2" t="inlineStr">
        <is>
          <t>Phase 1 · Foundations</t>
        </is>
      </c>
      <c r="C47" s="2" t="inlineStr">
        <is>
          <t>🔗 Linked List</t>
        </is>
      </c>
      <c r="D47" s="2" t="inlineStr">
        <is>
          <t>Single-node tricks</t>
        </is>
      </c>
      <c r="E47" s="2" t="n">
        <v>2</v>
      </c>
      <c r="F47" s="2" t="inlineStr"/>
      <c r="G47" s="2" t="inlineStr">
        <is>
          <t>Delete Node in a Linked List</t>
        </is>
      </c>
      <c r="H47" s="4" t="inlineStr">
        <is>
          <t>Copy-and-skip trick when you don't have the head. Clever puzzle.</t>
        </is>
      </c>
      <c r="I47" s="2" t="inlineStr">
        <is>
          <t>Solved</t>
        </is>
      </c>
      <c r="J47" s="2" t="n"/>
      <c r="K47" s="5" t="n">
        <v>46112</v>
      </c>
      <c r="L47" s="4" t="n"/>
      <c r="M47" s="6">
        <f>HYPERLINK("https://leetcode.com/problems/delete-node-in-a-linked-list/","Solve on LeetCode ↗")</f>
        <v/>
      </c>
      <c r="N47" s="6">
        <f>HYPERLINK("https://github.com/Prateek-5/question-bank/blob/main/DSA/Topics/Linked_List/learn/Delete_Node_in_a_Linked_List.md","View Walkthrough ↗")</f>
        <v/>
      </c>
    </row>
    <row r="48">
      <c r="A48" s="2" t="n">
        <v>47</v>
      </c>
      <c r="B48" s="2" t="inlineStr">
        <is>
          <t>Phase 1 · Foundations</t>
        </is>
      </c>
      <c r="C48" s="2" t="inlineStr">
        <is>
          <t>🔗 Linked List</t>
        </is>
      </c>
      <c r="D48" s="2" t="inlineStr">
        <is>
          <t>Dummy-head idiom</t>
        </is>
      </c>
      <c r="E48" s="2" t="n">
        <v>3</v>
      </c>
      <c r="F48" s="3" t="inlineStr">
        <is>
          <t>Must-do</t>
        </is>
      </c>
      <c r="G48" s="2" t="inlineStr">
        <is>
          <t>Remove Linked List Elements</t>
        </is>
      </c>
      <c r="H48" s="4" t="inlineStr">
        <is>
          <t>Dummy head before iteration so you can delete the original head uniformly.</t>
        </is>
      </c>
      <c r="I48" s="2" t="inlineStr">
        <is>
          <t>Solved</t>
        </is>
      </c>
      <c r="J48" s="2" t="inlineStr">
        <is>
          <t>Yes</t>
        </is>
      </c>
      <c r="K48" s="5" t="n">
        <v>46112</v>
      </c>
      <c r="L48" s="4" t="n"/>
      <c r="M48" s="6">
        <f>HYPERLINK("https://leetcode.com/problems/remove-linked-list-elements/","Solve on LeetCode ↗")</f>
        <v/>
      </c>
      <c r="N48" s="6">
        <f>HYPERLINK("https://github.com/Prateek-5/question-bank/blob/main/DSA/Topics/Linked_List/learn/Remove_Linked_List_Elements.md","View Walkthrough ↗")</f>
        <v/>
      </c>
    </row>
    <row r="49">
      <c r="A49" s="2" t="n">
        <v>48</v>
      </c>
      <c r="B49" s="2" t="inlineStr">
        <is>
          <t>Phase 1 · Foundations</t>
        </is>
      </c>
      <c r="C49" s="2" t="inlineStr">
        <is>
          <t>🔗 Linked List</t>
        </is>
      </c>
      <c r="D49" s="2" t="inlineStr">
        <is>
          <t>In-place reverse (THE pattern)</t>
        </is>
      </c>
      <c r="E49" s="2" t="n">
        <v>4</v>
      </c>
      <c r="F49" s="3" t="inlineStr">
        <is>
          <t>Must-do</t>
        </is>
      </c>
      <c r="G49" s="2" t="inlineStr">
        <is>
          <t>Reverse Linked List</t>
        </is>
      </c>
      <c r="H49" s="4" t="inlineStr">
        <is>
          <t>`prev / cur / nxt` three-pointer iterative reverse. Burn into reflex.</t>
        </is>
      </c>
      <c r="I49" s="2" t="inlineStr">
        <is>
          <t>Solved</t>
        </is>
      </c>
      <c r="J49" s="2" t="inlineStr">
        <is>
          <t>Yes</t>
        </is>
      </c>
      <c r="K49" s="5" t="n">
        <v>46170</v>
      </c>
      <c r="L49" s="4" t="n"/>
      <c r="M49" s="6">
        <f>HYPERLINK("https://leetcode.com/problems/reverse-linked-list/","Solve on LeetCode ↗")</f>
        <v/>
      </c>
      <c r="N49" s="6">
        <f>HYPERLINK("https://github.com/Prateek-5/question-bank/blob/main/DSA/Topics/Linked_List/learn/Reverse_Linked_List.md","View Walkthrough ↗")</f>
        <v/>
      </c>
    </row>
    <row r="50">
      <c r="A50" s="2" t="n">
        <v>49</v>
      </c>
      <c r="B50" s="2" t="inlineStr">
        <is>
          <t>Phase 1 · Foundations</t>
        </is>
      </c>
      <c r="C50" s="2" t="inlineStr">
        <is>
          <t>🔗 Linked List</t>
        </is>
      </c>
      <c r="D50" s="2" t="inlineStr">
        <is>
          <t>Slow / fast (Floyd's tortoise and hare)</t>
        </is>
      </c>
      <c r="E50" s="2" t="n">
        <v>5</v>
      </c>
      <c r="F50" s="3" t="inlineStr">
        <is>
          <t>Must-do</t>
        </is>
      </c>
      <c r="G50" s="2" t="inlineStr">
        <is>
          <t>Middle of the Linked List</t>
        </is>
      </c>
      <c r="H50" s="4" t="inlineStr">
        <is>
          <t>Slow moves 1, fast moves 2.</t>
        </is>
      </c>
      <c r="I50" s="2" t="inlineStr">
        <is>
          <t>Solved</t>
        </is>
      </c>
      <c r="J50" s="2" t="n"/>
      <c r="K50" s="5" t="n">
        <v>46170</v>
      </c>
      <c r="L50" s="4" t="n"/>
      <c r="M50" s="6">
        <f>HYPERLINK("https://leetcode.com/problems/middle-of-the-linked-list/","Solve on LeetCode ↗")</f>
        <v/>
      </c>
      <c r="N50" s="6">
        <f>HYPERLINK("https://github.com/Prateek-5/question-bank/blob/main/DSA/Topics/Linked_List/learn/Middle_of_the_Linked_List.md","View Walkthrough ↗")</f>
        <v/>
      </c>
    </row>
    <row r="51">
      <c r="A51" s="2" t="n">
        <v>50</v>
      </c>
      <c r="B51" s="2" t="inlineStr">
        <is>
          <t>Phase 1 · Foundations</t>
        </is>
      </c>
      <c r="C51" s="2" t="inlineStr">
        <is>
          <t>🔗 Linked List</t>
        </is>
      </c>
      <c r="D51" s="2" t="inlineStr">
        <is>
          <t>Slow / fast (Floyd's tortoise and hare)</t>
        </is>
      </c>
      <c r="E51" s="2" t="n">
        <v>6</v>
      </c>
      <c r="F51" s="3" t="inlineStr">
        <is>
          <t>Must-do</t>
        </is>
      </c>
      <c r="G51" s="2" t="inlineStr">
        <is>
          <t>Remove Nth Node From End of List</t>
        </is>
      </c>
      <c r="H51" s="4" t="inlineStr">
        <is>
          <t>Fixed-gap two-pointer; gap = n.</t>
        </is>
      </c>
      <c r="I51" s="2" t="inlineStr">
        <is>
          <t>Solved</t>
        </is>
      </c>
      <c r="J51" s="2" t="inlineStr">
        <is>
          <t>Yes</t>
        </is>
      </c>
      <c r="K51" s="5" t="n">
        <v>46170</v>
      </c>
      <c r="L51" s="4" t="n"/>
      <c r="M51" s="6">
        <f>HYPERLINK("https://leetcode.com/problems/remove-nth-node-from-end-of-list/","Solve on LeetCode ↗")</f>
        <v/>
      </c>
      <c r="N51" s="6">
        <f>HYPERLINK("https://github.com/Prateek-5/question-bank/blob/main/DSA/Topics/Linked_List/learn/Remove_Nth_Node_From_End_of_List.md","View Walkthrough ↗")</f>
        <v/>
      </c>
    </row>
    <row r="52">
      <c r="A52" s="2" t="n">
        <v>51</v>
      </c>
      <c r="B52" s="2" t="inlineStr">
        <is>
          <t>Phase 1 · Foundations</t>
        </is>
      </c>
      <c r="C52" s="2" t="inlineStr">
        <is>
          <t>🔗 Linked List</t>
        </is>
      </c>
      <c r="D52" s="2" t="inlineStr">
        <is>
          <t>Slow / fast (Floyd's tortoise and hare)</t>
        </is>
      </c>
      <c r="E52" s="2" t="n">
        <v>7</v>
      </c>
      <c r="F52" s="3" t="inlineStr">
        <is>
          <t>Must-do</t>
        </is>
      </c>
      <c r="G52" s="2" t="inlineStr">
        <is>
          <t>Linked List Cycle</t>
        </is>
      </c>
      <c r="H52" s="4" t="inlineStr">
        <is>
          <t>Floyd's cycle detection.</t>
        </is>
      </c>
      <c r="I52" s="2" t="inlineStr">
        <is>
          <t>Solved</t>
        </is>
      </c>
      <c r="J52" s="2" t="n"/>
      <c r="K52" s="5" t="n">
        <v>46170</v>
      </c>
      <c r="L52" s="4" t="n"/>
      <c r="M52" s="6">
        <f>HYPERLINK("https://leetcode.com/problems/linked-list-cycle/","Solve on LeetCode ↗")</f>
        <v/>
      </c>
      <c r="N52" s="6">
        <f>HYPERLINK("https://github.com/Prateek-5/question-bank/blob/main/DSA/Topics/Linked_List/learn/Linked_List_Cycle.md","View Walkthrough ↗")</f>
        <v/>
      </c>
    </row>
    <row r="53">
      <c r="A53" s="2" t="n">
        <v>52</v>
      </c>
      <c r="B53" s="2" t="inlineStr">
        <is>
          <t>Phase 1 · Foundations</t>
        </is>
      </c>
      <c r="C53" s="2" t="inlineStr">
        <is>
          <t>🔗 Linked List</t>
        </is>
      </c>
      <c r="D53" s="2" t="inlineStr">
        <is>
          <t>Slow / fast (Floyd's tortoise and hare)</t>
        </is>
      </c>
      <c r="E53" s="2" t="n">
        <v>8</v>
      </c>
      <c r="F53" s="3" t="inlineStr">
        <is>
          <t>Must-do</t>
        </is>
      </c>
      <c r="G53" s="2" t="inlineStr">
        <is>
          <t>Linked List Cycle II</t>
        </is>
      </c>
      <c r="H53" s="4" t="inlineStr">
        <is>
          <t>After detection, reset one pointer to head — they meet at the cycle start. The math is elegant.</t>
        </is>
      </c>
      <c r="I53" s="2" t="inlineStr">
        <is>
          <t>Solved</t>
        </is>
      </c>
      <c r="J53" s="2" t="inlineStr">
        <is>
          <t>Yes</t>
        </is>
      </c>
      <c r="K53" s="5" t="n">
        <v>46170</v>
      </c>
      <c r="L53" s="4" t="n"/>
      <c r="M53" s="6">
        <f>HYPERLINK("https://leetcode.com/problems/linked-list-cycle-ii/","Solve on LeetCode ↗")</f>
        <v/>
      </c>
      <c r="N53" s="6">
        <f>HYPERLINK("https://github.com/Prateek-5/question-bank/blob/main/DSA/Topics/Linked_List/learn/Linked_List_Cycle_II.md","View Walkthrough ↗")</f>
        <v/>
      </c>
    </row>
    <row r="54">
      <c r="A54" s="2" t="n">
        <v>53</v>
      </c>
      <c r="B54" s="2" t="inlineStr">
        <is>
          <t>Phase 1 · Foundations</t>
        </is>
      </c>
      <c r="C54" s="2" t="inlineStr">
        <is>
          <t>🔗 Linked List</t>
        </is>
      </c>
      <c r="D54" s="2" t="inlineStr">
        <is>
          <t>Compose patterns — merge and palindrome</t>
        </is>
      </c>
      <c r="E54" s="2" t="n">
        <v>9</v>
      </c>
      <c r="F54" s="3" t="inlineStr">
        <is>
          <t>Must-do</t>
        </is>
      </c>
      <c r="G54" s="2" t="inlineStr">
        <is>
          <t>Merge Two Sorted Lists</t>
        </is>
      </c>
      <c r="H54" s="4" t="inlineStr">
        <is>
          <t>Dummy head + zip-merge. Foundation for Merge K (in Heap).</t>
        </is>
      </c>
      <c r="I54" s="2" t="inlineStr">
        <is>
          <t>Solved</t>
        </is>
      </c>
      <c r="J54" s="2" t="inlineStr">
        <is>
          <t>Yes</t>
        </is>
      </c>
      <c r="K54" s="5" t="n">
        <v>46173</v>
      </c>
      <c r="L54" s="4" t="n"/>
      <c r="M54" s="6">
        <f>HYPERLINK("https://leetcode.com/problems/merge-two-sorted-lists/","Solve on LeetCode ↗")</f>
        <v/>
      </c>
      <c r="N54" s="6">
        <f>HYPERLINK("https://github.com/Prateek-5/question-bank/blob/main/DSA/Topics/Linked_List/learn/Merge_Two_Sorted_Lists.md","View Walkthrough ↗")</f>
        <v/>
      </c>
    </row>
    <row r="55">
      <c r="A55" s="2" t="n">
        <v>54</v>
      </c>
      <c r="B55" s="2" t="inlineStr">
        <is>
          <t>Phase 1 · Foundations</t>
        </is>
      </c>
      <c r="C55" s="2" t="inlineStr">
        <is>
          <t>🔗 Linked List</t>
        </is>
      </c>
      <c r="D55" s="2" t="inlineStr">
        <is>
          <t>Compose patterns — merge and palindrome</t>
        </is>
      </c>
      <c r="E55" s="2" t="n">
        <v>10</v>
      </c>
      <c r="F55" s="2" t="inlineStr"/>
      <c r="G55" s="2" t="inlineStr">
        <is>
          <t>Palindrome Linked List</t>
        </is>
      </c>
      <c r="H55" s="4" t="inlineStr">
        <is>
          <t>Find middle + reverse second half + compare. Composes 3 patterns.</t>
        </is>
      </c>
      <c r="I55" s="2" t="inlineStr">
        <is>
          <t>Solved</t>
        </is>
      </c>
      <c r="J55" s="2" t="n"/>
      <c r="K55" s="5" t="n">
        <v>46112</v>
      </c>
      <c r="L55" s="4" t="n"/>
      <c r="M55" s="6">
        <f>HYPERLINK("https://leetcode.com/problems/palindrome-linked-list/","Solve on LeetCode ↗")</f>
        <v/>
      </c>
      <c r="N55" s="6">
        <f>HYPERLINK("https://github.com/Prateek-5/question-bank/blob/main/DSA/Topics/Linked_List/learn/Palindrome_Linked_List.md","View Walkthrough ↗")</f>
        <v/>
      </c>
    </row>
    <row r="56">
      <c r="A56" s="2" t="n">
        <v>55</v>
      </c>
      <c r="B56" s="2" t="inlineStr">
        <is>
          <t>Phase 1 · Foundations</t>
        </is>
      </c>
      <c r="C56" s="2" t="inlineStr">
        <is>
          <t>🔗 Linked List</t>
        </is>
      </c>
      <c r="D56" s="2" t="inlineStr">
        <is>
          <t>Light traversal</t>
        </is>
      </c>
      <c r="E56" s="2" t="n">
        <v>11</v>
      </c>
      <c r="F56" s="2" t="inlineStr"/>
      <c r="G56" s="2" t="inlineStr">
        <is>
          <t>Convert Binary Number in a Linked List to Integer</t>
        </is>
      </c>
      <c r="H56" s="4" t="inlineStr">
        <is>
          <t>Walk + accumulate. Warm-up if you need a break.</t>
        </is>
      </c>
      <c r="I56" s="2" t="inlineStr">
        <is>
          <t>Solved</t>
        </is>
      </c>
      <c r="J56" s="2" t="inlineStr">
        <is>
          <t>Yes</t>
        </is>
      </c>
      <c r="K56" s="5" t="n">
        <v>46112</v>
      </c>
      <c r="L56" s="4" t="n"/>
      <c r="M56" s="6">
        <f>HYPERLINK("https://leetcode.com/problems/convert-binary-number-in-a-linked-list-to-integer/","Solve on LeetCode ↗")</f>
        <v/>
      </c>
      <c r="N56" s="6">
        <f>HYPERLINK("https://github.com/Prateek-5/question-bank/blob/main/DSA/Topics/Linked_List/learn/Convert_Binary_Number_in_a_Linked_List_to_Integer.md","View Walkthrough ↗")</f>
        <v/>
      </c>
    </row>
    <row r="57">
      <c r="A57" s="2" t="n">
        <v>56</v>
      </c>
      <c r="B57" s="2" t="inlineStr">
        <is>
          <t>Phase 1 · Foundations</t>
        </is>
      </c>
      <c r="C57" s="2" t="inlineStr">
        <is>
          <t>🔍 Searching / Binary Search</t>
        </is>
      </c>
      <c r="D57" s="2" t="inlineStr">
        <is>
          <t>Lower / upper bound — boundary precision</t>
        </is>
      </c>
      <c r="E57" s="2" t="n">
        <v>1</v>
      </c>
      <c r="F57" s="3" t="inlineStr">
        <is>
          <t>Must-do</t>
        </is>
      </c>
      <c r="G57" s="2" t="inlineStr">
        <is>
          <t>Find First and Last Position of Element in Sorted Array</t>
        </is>
      </c>
      <c r="H57" s="4" t="inlineStr">
        <is>
          <t>Lower-bound for first, upper-bound for last. Memorize the templates.</t>
        </is>
      </c>
      <c r="I57" s="2" t="inlineStr">
        <is>
          <t>Solved</t>
        </is>
      </c>
      <c r="J57" s="2" t="n"/>
      <c r="K57" s="5" t="n">
        <v>46173</v>
      </c>
      <c r="L57" s="4" t="n"/>
      <c r="M57" s="6">
        <f>HYPERLINK("https://leetcode.com/problems/find-first-and-last-position-of-element-in-sorted-array/","Solve on LeetCode ↗")</f>
        <v/>
      </c>
      <c r="N57" s="6">
        <f>HYPERLINK("https://github.com/Prateek-5/question-bank/blob/main/DSA/Topics/Searching_Binary_Search/learn/Find_First_and_Last_Position_of_Element_in_Sorted_Array.md","View Walkthrough ↗")</f>
        <v/>
      </c>
    </row>
    <row r="58">
      <c r="A58" s="2" t="n">
        <v>57</v>
      </c>
      <c r="B58" s="2" t="inlineStr">
        <is>
          <t>Phase 1 · Foundations</t>
        </is>
      </c>
      <c r="C58" s="2" t="inlineStr">
        <is>
          <t>🔍 Searching / Binary Search</t>
        </is>
      </c>
      <c r="D58" s="2" t="inlineStr">
        <is>
          <t>Shape-based search</t>
        </is>
      </c>
      <c r="E58" s="2" t="n">
        <v>2</v>
      </c>
      <c r="F58" s="3" t="inlineStr">
        <is>
          <t>Must-do</t>
        </is>
      </c>
      <c r="G58" s="2" t="inlineStr">
        <is>
          <t>Find Peak Element</t>
        </is>
      </c>
      <c r="H58" s="4" t="inlineStr">
        <is>
          <t>Move toward the larger neighbor.</t>
        </is>
      </c>
      <c r="I58" s="2" t="inlineStr">
        <is>
          <t>Solved</t>
        </is>
      </c>
      <c r="J58" s="2" t="inlineStr">
        <is>
          <t>Yes</t>
        </is>
      </c>
      <c r="K58" s="5" t="n">
        <v>46173</v>
      </c>
      <c r="L58" s="4" t="n"/>
      <c r="M58" s="6">
        <f>HYPERLINK("https://leetcode.com/problems/find-peak-element/","Solve on LeetCode ↗")</f>
        <v/>
      </c>
      <c r="N58" s="6">
        <f>HYPERLINK("https://github.com/Prateek-5/question-bank/blob/main/DSA/Topics/Searching_Binary_Search/learn/Find_Peak_Element.md","View Walkthrough ↗")</f>
        <v/>
      </c>
    </row>
    <row r="59">
      <c r="A59" s="2" t="n">
        <v>58</v>
      </c>
      <c r="B59" s="2" t="inlineStr">
        <is>
          <t>Phase 1 · Foundations</t>
        </is>
      </c>
      <c r="C59" s="2" t="inlineStr">
        <is>
          <t>🔍 Searching / Binary Search</t>
        </is>
      </c>
      <c r="D59" s="2" t="inlineStr">
        <is>
          <t>Shape-based search</t>
        </is>
      </c>
      <c r="E59" s="2" t="n">
        <v>3</v>
      </c>
      <c r="F59" s="3" t="inlineStr">
        <is>
          <t>Must-do</t>
        </is>
      </c>
      <c r="G59" s="2" t="inlineStr">
        <is>
          <t>Search in Rotated Sorted Array</t>
        </is>
      </c>
      <c r="H59" s="4" t="inlineStr">
        <is>
          <t>Decide which half is sorted, then check target's range.</t>
        </is>
      </c>
      <c r="I59" s="2" t="inlineStr">
        <is>
          <t>Solved</t>
        </is>
      </c>
      <c r="J59" s="2" t="inlineStr">
        <is>
          <t>Yes</t>
        </is>
      </c>
      <c r="K59" s="5" t="n">
        <v>46179</v>
      </c>
      <c r="L59" s="4" t="n"/>
      <c r="M59" s="6">
        <f>HYPERLINK("https://leetcode.com/problems/search-in-rotated-sorted-array/","Solve on LeetCode ↗")</f>
        <v/>
      </c>
      <c r="N59" s="6">
        <f>HYPERLINK("https://github.com/Prateek-5/question-bank/blob/main/DSA/Topics/Searching_Binary_Search/learn/Search_in_Rotated_Sorted_Array.md","View Walkthrough ↗")</f>
        <v/>
      </c>
    </row>
    <row r="60">
      <c r="A60" s="2" t="n">
        <v>59</v>
      </c>
      <c r="B60" s="2" t="inlineStr">
        <is>
          <t>Phase 1 · Foundations</t>
        </is>
      </c>
      <c r="C60" s="2" t="inlineStr">
        <is>
          <t>🔍 Searching / Binary Search</t>
        </is>
      </c>
      <c r="D60" s="2" t="inlineStr">
        <is>
          <t>Invariant search</t>
        </is>
      </c>
      <c r="E60" s="2" t="n">
        <v>4</v>
      </c>
      <c r="F60" s="2" t="inlineStr"/>
      <c r="G60" s="2" t="inlineStr">
        <is>
          <t>Single Element in a Sorted Array</t>
        </is>
      </c>
      <c r="H60" s="4" t="inlineStr">
        <is>
          <t>Pair-index invariant (`mid ^ 1`) breaks when single element is to the left.</t>
        </is>
      </c>
      <c r="I60" s="2" t="inlineStr">
        <is>
          <t>Solved</t>
        </is>
      </c>
      <c r="J60" s="2" t="inlineStr">
        <is>
          <t>Yes</t>
        </is>
      </c>
      <c r="K60" s="5" t="n">
        <v>46179</v>
      </c>
      <c r="L60" s="4" t="n"/>
      <c r="M60" s="6">
        <f>HYPERLINK("https://leetcode.com/problems/single-element-in-a-sorted-array/description/","Solve on LeetCode ↗")</f>
        <v/>
      </c>
      <c r="N60" s="6">
        <f>HYPERLINK("https://github.com/Prateek-5/question-bank/blob/main/DSA/Topics/Searching_Binary_Search/learn/Single_Element_in_a_Sorted_Array.md","View Walkthrough ↗")</f>
        <v/>
      </c>
    </row>
    <row r="61">
      <c r="A61" s="2" t="n">
        <v>60</v>
      </c>
      <c r="B61" s="2" t="inlineStr">
        <is>
          <t>Phase 1 · Foundations</t>
        </is>
      </c>
      <c r="C61" s="2" t="inlineStr">
        <is>
          <t>🔍 Searching / Binary Search</t>
        </is>
      </c>
      <c r="D61" s="2" t="inlineStr">
        <is>
          <t>Sorted matrix</t>
        </is>
      </c>
      <c r="E61" s="2" t="n">
        <v>5</v>
      </c>
      <c r="F61" s="2" t="inlineStr"/>
      <c r="G61" s="2" t="inlineStr">
        <is>
          <t>Search a 2D Matrix</t>
        </is>
      </c>
      <c r="H61" s="4" t="inlineStr">
        <is>
          <t>Treat matrix as flat sorted array; binary search with index math.</t>
        </is>
      </c>
      <c r="I61" s="2" t="inlineStr">
        <is>
          <t>Solved</t>
        </is>
      </c>
      <c r="J61" s="2" t="n"/>
      <c r="K61" s="5" t="n">
        <v>46179</v>
      </c>
      <c r="L61" s="4" t="n"/>
      <c r="M61" s="6">
        <f>HYPERLINK("https://leetcode.com/problems/search-a-2d-matrix/","Solve on LeetCode ↗")</f>
        <v/>
      </c>
      <c r="N61" s="6">
        <f>HYPERLINK("https://github.com/Prateek-5/question-bank/blob/main/DSA/Topics/Searching_Binary_Search/learn/Search_a_2D_Matrix.md","View Walkthrough ↗")</f>
        <v/>
      </c>
    </row>
    <row r="62">
      <c r="A62" s="2" t="n">
        <v>61</v>
      </c>
      <c r="B62" s="2" t="inlineStr">
        <is>
          <t>Phase 1 · Foundations</t>
        </is>
      </c>
      <c r="C62" s="2" t="inlineStr">
        <is>
          <t>🔍 Searching / Binary Search</t>
        </is>
      </c>
      <c r="D62" s="2" t="inlineStr">
        <is>
          <t>Binary search on the answer</t>
        </is>
      </c>
      <c r="E62" s="2" t="n">
        <v>6</v>
      </c>
      <c r="F62" s="3" t="inlineStr">
        <is>
          <t>Must-do</t>
        </is>
      </c>
      <c r="G62" s="2" t="inlineStr">
        <is>
          <t>Capacity To Ship Packages Within D Days</t>
        </is>
      </c>
      <c r="H62" s="4" t="inlineStr">
        <is>
          <t>Binary search the capacity; predicate is `canShipIn(D, capacity)`.</t>
        </is>
      </c>
      <c r="I62" s="2" t="inlineStr">
        <is>
          <t>Solved</t>
        </is>
      </c>
      <c r="J62" s="2" t="n"/>
      <c r="K62" s="5" t="n">
        <v>46179</v>
      </c>
      <c r="L62" s="4" t="n"/>
      <c r="M62" s="6">
        <f>HYPERLINK("https://leetcode.com/problems/capacity-to-ship-packages-within-d-days/","Solve on LeetCode ↗")</f>
        <v/>
      </c>
      <c r="N62" s="6">
        <f>HYPERLINK("https://github.com/Prateek-5/question-bank/blob/main/DSA/Topics/Searching_Binary_Search/learn/Capacity_To_Ship_Packages_Within_D_Days.md","View Walkthrough ↗")</f>
        <v/>
      </c>
    </row>
    <row r="63">
      <c r="A63" s="2" t="n">
        <v>62</v>
      </c>
      <c r="B63" s="2" t="inlineStr">
        <is>
          <t>Phase 1 · Foundations</t>
        </is>
      </c>
      <c r="C63" s="2" t="inlineStr">
        <is>
          <t>🔍 Searching / Binary Search</t>
        </is>
      </c>
      <c r="D63" s="2" t="inlineStr">
        <is>
          <t>Binary search on the answer</t>
        </is>
      </c>
      <c r="E63" s="2" t="n">
        <v>7</v>
      </c>
      <c r="F63" s="2" t="inlineStr"/>
      <c r="G63" s="2" t="inlineStr">
        <is>
          <t>Magnetic Force Between Two Balls</t>
        </is>
      </c>
      <c r="H63" s="4" t="inlineStr">
        <is>
          <t>Binary search the gap; predicate is `canPlaceMBallsWithGap(g)`.</t>
        </is>
      </c>
      <c r="I63" s="2" t="inlineStr">
        <is>
          <t>Skipped</t>
        </is>
      </c>
      <c r="J63" s="2" t="n"/>
      <c r="K63" s="2" t="n"/>
      <c r="L63" s="4" t="n"/>
      <c r="M63" s="6">
        <f>HYPERLINK("https://leetcode.com/problems/magnetic-force-between-two-balls/","Solve on LeetCode ↗")</f>
        <v/>
      </c>
      <c r="N63" s="6">
        <f>HYPERLINK("https://github.com/Prateek-5/question-bank/blob/main/DSA/Topics/Searching_Binary_Search/learn/Magnetic_Force_Between_Two_Balls.md","View Walkthrough ↗")</f>
        <v/>
      </c>
    </row>
    <row r="64">
      <c r="A64" s="2" t="n">
        <v>63</v>
      </c>
      <c r="B64" s="2" t="inlineStr">
        <is>
          <t>Phase 1 · Foundations</t>
        </is>
      </c>
      <c r="C64" s="2" t="inlineStr">
        <is>
          <t>🔍 Searching / Binary Search</t>
        </is>
      </c>
      <c r="D64" s="2" t="inlineStr">
        <is>
          <t>Math + search</t>
        </is>
      </c>
      <c r="E64" s="2" t="n">
        <v>8</v>
      </c>
      <c r="F64" s="2" t="inlineStr"/>
      <c r="G64" s="2" t="inlineStr">
        <is>
          <t>Smallest Good Base</t>
        </is>
      </c>
      <c r="H64" s="4" t="inlineStr">
        <is>
          <t>Number-theoretic; binary search on the base. Hardest of the set.</t>
        </is>
      </c>
      <c r="I64" s="2" t="inlineStr">
        <is>
          <t>Skipped</t>
        </is>
      </c>
      <c r="J64" s="2" t="n"/>
      <c r="K64" s="2" t="n"/>
      <c r="L64" s="4" t="n"/>
      <c r="M64" s="6">
        <f>HYPERLINK("https://leetcode.com/problems/smallest-good-base/description/","Solve on LeetCode ↗")</f>
        <v/>
      </c>
      <c r="N64" s="6">
        <f>HYPERLINK("https://github.com/Prateek-5/question-bank/blob/main/DSA/Topics/Searching_Binary_Search/learn/Smallest_Good_Base.md","View Walkthrough ↗")</f>
        <v/>
      </c>
    </row>
    <row r="65">
      <c r="A65" s="2" t="n">
        <v>64</v>
      </c>
      <c r="B65" s="2" t="inlineStr">
        <is>
          <t>Phase 2 · Structures &amp; Idioms</t>
        </is>
      </c>
      <c r="C65" s="2" t="inlineStr">
        <is>
          <t>➗ Math</t>
        </is>
      </c>
      <c r="D65" s="2" t="inlineStr">
        <is>
          <t>Observation / digit ops</t>
        </is>
      </c>
      <c r="E65" s="2" t="n">
        <v>1</v>
      </c>
      <c r="F65" s="3" t="inlineStr">
        <is>
          <t>Must-do</t>
        </is>
      </c>
      <c r="G65" s="2" t="inlineStr">
        <is>
          <t>Add Digits</t>
        </is>
      </c>
      <c r="H65" s="4" t="inlineStr">
        <is>
          <t>Digital root; closed-form `1 + (n-1) % 9`. (the closed form is the senior signal)</t>
        </is>
      </c>
      <c r="I65" s="2" t="inlineStr">
        <is>
          <t>Solved</t>
        </is>
      </c>
      <c r="J65" s="2" t="n"/>
      <c r="K65" s="5" t="n">
        <v>46167</v>
      </c>
      <c r="L65" s="4" t="n"/>
      <c r="M65" s="6">
        <f>HYPERLINK("https://leetcode.com/problems/add-digits/","Solve on LeetCode ↗")</f>
        <v/>
      </c>
      <c r="N65" s="6">
        <f>HYPERLINK("https://github.com/Prateek-5/question-bank/blob/main/DSA/Topics/Math/learn/Add_Digits.md","View Walkthrough ↗")</f>
        <v/>
      </c>
    </row>
    <row r="66">
      <c r="A66" s="2" t="n">
        <v>65</v>
      </c>
      <c r="B66" s="2" t="inlineStr">
        <is>
          <t>Phase 2 · Structures &amp; Idioms</t>
        </is>
      </c>
      <c r="C66" s="2" t="inlineStr">
        <is>
          <t>➗ Math</t>
        </is>
      </c>
      <c r="D66" s="2" t="inlineStr">
        <is>
          <t>Observation / digit ops</t>
        </is>
      </c>
      <c r="E66" s="2" t="n">
        <v>2</v>
      </c>
      <c r="F66" s="2" t="inlineStr"/>
      <c r="G66" s="2" t="inlineStr">
        <is>
          <t>Determine Color of a Chessboard Square</t>
        </is>
      </c>
      <c r="H66" s="4" t="inlineStr">
        <is>
          <t>Parity of row + column.</t>
        </is>
      </c>
      <c r="I66" s="2" t="inlineStr">
        <is>
          <t>Solved</t>
        </is>
      </c>
      <c r="J66" s="2" t="n"/>
      <c r="K66" s="5" t="n">
        <v>46167</v>
      </c>
      <c r="L66" s="4" t="n"/>
      <c r="M66" s="6">
        <f>HYPERLINK("https://leetcode.com/problems/determine-color-of-a-chessboard-square/","Solve on LeetCode ↗")</f>
        <v/>
      </c>
      <c r="N66" s="6">
        <f>HYPERLINK("https://github.com/Prateek-5/question-bank/blob/main/DSA/Topics/Math/learn/Determine_Color_of_a_Chessboard_Square.md","View Walkthrough ↗")</f>
        <v/>
      </c>
    </row>
    <row r="67">
      <c r="A67" s="2" t="n">
        <v>66</v>
      </c>
      <c r="B67" s="2" t="inlineStr">
        <is>
          <t>Phase 2 · Structures &amp; Idioms</t>
        </is>
      </c>
      <c r="C67" s="2" t="inlineStr">
        <is>
          <t>➗ Math</t>
        </is>
      </c>
      <c r="D67" s="2" t="inlineStr">
        <is>
          <t>Observation / digit ops</t>
        </is>
      </c>
      <c r="E67" s="2" t="n">
        <v>3</v>
      </c>
      <c r="F67" s="2" t="inlineStr"/>
      <c r="G67" s="2" t="inlineStr">
        <is>
          <t>Day of the Week</t>
        </is>
      </c>
      <c r="H67" s="4" t="inlineStr">
        <is>
          <t>Zeller's congruence or counted-days reference.</t>
        </is>
      </c>
      <c r="I67" s="2" t="inlineStr">
        <is>
          <t>Skipped</t>
        </is>
      </c>
      <c r="J67" s="2" t="n"/>
      <c r="K67" s="2" t="n"/>
      <c r="L67" s="4" t="n"/>
      <c r="M67" s="6">
        <f>HYPERLINK("https://leetcode.com/problems/day-of-the-week/","Solve on LeetCode ↗")</f>
        <v/>
      </c>
      <c r="N67" s="6">
        <f>HYPERLINK("https://github.com/Prateek-5/question-bank/blob/main/DSA/Topics/Math/learn/Day_of_the_Week.md","View Walkthrough ↗")</f>
        <v/>
      </c>
    </row>
    <row r="68">
      <c r="A68" s="2" t="n">
        <v>67</v>
      </c>
      <c r="B68" s="2" t="inlineStr">
        <is>
          <t>Phase 2 · Structures &amp; Idioms</t>
        </is>
      </c>
      <c r="C68" s="2" t="inlineStr">
        <is>
          <t>➗ Math</t>
        </is>
      </c>
      <c r="D68" s="2" t="inlineStr">
        <is>
          <t>Arithmetic sequences</t>
        </is>
      </c>
      <c r="E68" s="2" t="n">
        <v>4</v>
      </c>
      <c r="F68" s="2" t="inlineStr"/>
      <c r="G68" s="2" t="inlineStr">
        <is>
          <t>Count of Matches in Tournament</t>
        </is>
      </c>
      <c r="H68" s="4" t="inlineStr">
        <is>
          <t>Each match eliminates one team → `n - 1`. Closed form &gt; simulation.</t>
        </is>
      </c>
      <c r="I68" s="2" t="inlineStr">
        <is>
          <t>Solved</t>
        </is>
      </c>
      <c r="J68" s="2" t="n"/>
      <c r="K68" s="5" t="n">
        <v>46167</v>
      </c>
      <c r="L68" s="4" t="n"/>
      <c r="M68" s="6">
        <f>HYPERLINK("https://leetcode.com/problems/count-of-matches-in-tournament/","Solve on LeetCode ↗")</f>
        <v/>
      </c>
      <c r="N68" s="6">
        <f>HYPERLINK("https://github.com/Prateek-5/question-bank/blob/main/DSA/Topics/Math/learn/Count_of_Matches_in_Tournament.md","View Walkthrough ↗")</f>
        <v/>
      </c>
    </row>
    <row r="69">
      <c r="A69" s="2" t="n">
        <v>68</v>
      </c>
      <c r="B69" s="2" t="inlineStr">
        <is>
          <t>Phase 2 · Structures &amp; Idioms</t>
        </is>
      </c>
      <c r="C69" s="2" t="inlineStr">
        <is>
          <t>➗ Math</t>
        </is>
      </c>
      <c r="D69" s="2" t="inlineStr">
        <is>
          <t>Arithmetic sequences</t>
        </is>
      </c>
      <c r="E69" s="2" t="n">
        <v>5</v>
      </c>
      <c r="F69" s="2" t="inlineStr"/>
      <c r="G69" s="2" t="inlineStr">
        <is>
          <t>Find the Pivot Integer</t>
        </is>
      </c>
      <c r="H69" s="4" t="inlineStr">
        <is>
          <t>Sum-of-1-to-n; algebra over loop.</t>
        </is>
      </c>
      <c r="I69" s="2" t="inlineStr">
        <is>
          <t>Skipped</t>
        </is>
      </c>
      <c r="J69" s="2" t="n"/>
      <c r="K69" s="2" t="n"/>
      <c r="L69" s="4" t="n"/>
      <c r="M69" s="6">
        <f>HYPERLINK("https://leetcode.com/problems/find-the-pivot-integer/","Solve on LeetCode ↗")</f>
        <v/>
      </c>
      <c r="N69" s="6">
        <f>HYPERLINK("https://github.com/Prateek-5/question-bank/blob/main/DSA/Topics/Math/learn/Find_the_Pivot_Integer.md","View Walkthrough ↗")</f>
        <v/>
      </c>
    </row>
    <row r="70">
      <c r="A70" s="2" t="n">
        <v>69</v>
      </c>
      <c r="B70" s="2" t="inlineStr">
        <is>
          <t>Phase 2 · Structures &amp; Idioms</t>
        </is>
      </c>
      <c r="C70" s="2" t="inlineStr">
        <is>
          <t>➗ Math</t>
        </is>
      </c>
      <c r="D70" s="2" t="inlineStr">
        <is>
          <t>GCD / divisibility</t>
        </is>
      </c>
      <c r="E70" s="2" t="n">
        <v>6</v>
      </c>
      <c r="F70" s="3" t="inlineStr">
        <is>
          <t>Must-do</t>
        </is>
      </c>
      <c r="G70" s="2" t="inlineStr">
        <is>
          <t>Find Greatest Common Divisor of Array</t>
        </is>
      </c>
      <c r="H70" s="4" t="inlineStr">
        <is>
          <t>`gcd(min, max)`. Know Euclid's algorithm.</t>
        </is>
      </c>
      <c r="I70" s="2" t="inlineStr">
        <is>
          <t>Skipped</t>
        </is>
      </c>
      <c r="J70" s="2" t="n"/>
      <c r="K70" s="2" t="n"/>
      <c r="L70" s="4" t="n"/>
      <c r="M70" s="6">
        <f>HYPERLINK("https://leetcode.com/problems/find-greatest-common-divisor-of-array/","Solve on LeetCode ↗")</f>
        <v/>
      </c>
      <c r="N70" s="6">
        <f>HYPERLINK("https://github.com/Prateek-5/question-bank/blob/main/DSA/Topics/Math/learn/Find_Greatest_Common_Divisor_of_Array.md","View Walkthrough ↗")</f>
        <v/>
      </c>
    </row>
    <row r="71">
      <c r="A71" s="2" t="n">
        <v>70</v>
      </c>
      <c r="B71" s="2" t="inlineStr">
        <is>
          <t>Phase 2 · Structures &amp; Idioms</t>
        </is>
      </c>
      <c r="C71" s="2" t="inlineStr">
        <is>
          <t>➗ Math</t>
        </is>
      </c>
      <c r="D71" s="2" t="inlineStr">
        <is>
          <t>GCD / divisibility</t>
        </is>
      </c>
      <c r="E71" s="2" t="n">
        <v>7</v>
      </c>
      <c r="F71" s="3" t="inlineStr">
        <is>
          <t>Must-do</t>
        </is>
      </c>
      <c r="G71" s="2" t="inlineStr">
        <is>
          <t>Subarray Sums Divisible by K</t>
        </is>
      </c>
      <c r="H71" s="4" t="inlineStr">
        <is>
          <t>Prefix sum mod K; hash. Bridges Math into Hashing.</t>
        </is>
      </c>
      <c r="I71" s="2" t="inlineStr">
        <is>
          <t>Skipped</t>
        </is>
      </c>
      <c r="J71" s="2" t="n"/>
      <c r="K71" s="2" t="n"/>
      <c r="L71" s="4" t="n"/>
      <c r="M71" s="6">
        <f>HYPERLINK("https://leetcode.com/problems/subarray-sums-divisible-by-k/","Solve on LeetCode ↗")</f>
        <v/>
      </c>
      <c r="N71" s="6">
        <f>HYPERLINK("https://github.com/Prateek-5/question-bank/blob/main/DSA/Topics/Math/learn/Subarray_Sums_Divisible_by_K.md","View Walkthrough ↗")</f>
        <v/>
      </c>
    </row>
    <row r="72">
      <c r="A72" s="2" t="n">
        <v>71</v>
      </c>
      <c r="B72" s="2" t="inlineStr">
        <is>
          <t>Phase 2 · Structures &amp; Idioms</t>
        </is>
      </c>
      <c r="C72" s="2" t="inlineStr">
        <is>
          <t>🧮 Bit Manipulation</t>
        </is>
      </c>
      <c r="D72" s="2" t="inlineStr">
        <is>
          <t>Counting / popcount</t>
        </is>
      </c>
      <c r="E72" s="2" t="n">
        <v>1</v>
      </c>
      <c r="F72" s="3" t="inlineStr">
        <is>
          <t>Must-do</t>
        </is>
      </c>
      <c r="G72" s="2" t="inlineStr">
        <is>
          <t>Number of 1 Bits</t>
        </is>
      </c>
      <c r="H72" s="4" t="inlineStr">
        <is>
          <t>Brian Kernighan's trick: `n &amp; (n-1)` clears the lowest set bit.</t>
        </is>
      </c>
      <c r="I72" s="2" t="inlineStr">
        <is>
          <t>Solved</t>
        </is>
      </c>
      <c r="J72" s="2" t="n"/>
      <c r="K72" s="5" t="n">
        <v>46168</v>
      </c>
      <c r="L72" s="4" t="n"/>
      <c r="M72" s="6">
        <f>HYPERLINK("https://leetcode.com/problems/number-of-1-bits/","Solve on LeetCode ↗")</f>
        <v/>
      </c>
      <c r="N72" s="6">
        <f>HYPERLINK("https://github.com/Prateek-5/question-bank/blob/main/DSA/Topics/Bit_Manipulation/learn/Number_of_1_Bits.md","View Walkthrough ↗")</f>
        <v/>
      </c>
    </row>
    <row r="73">
      <c r="A73" s="2" t="n">
        <v>72</v>
      </c>
      <c r="B73" s="2" t="inlineStr">
        <is>
          <t>Phase 2 · Structures &amp; Idioms</t>
        </is>
      </c>
      <c r="C73" s="2" t="inlineStr">
        <is>
          <t>🧮 Bit Manipulation</t>
        </is>
      </c>
      <c r="D73" s="2" t="inlineStr">
        <is>
          <t>Bit movement</t>
        </is>
      </c>
      <c r="E73" s="2" t="n">
        <v>2</v>
      </c>
      <c r="F73" s="2" t="inlineStr"/>
      <c r="G73" s="2" t="inlineStr">
        <is>
          <t>Reverse Bits</t>
        </is>
      </c>
      <c r="H73" s="4" t="inlineStr">
        <is>
          <t>Bit-by-bit shift, or divide-and-conquer swap (halves, quarters, ...).</t>
        </is>
      </c>
      <c r="I73" s="2" t="inlineStr">
        <is>
          <t>Solved</t>
        </is>
      </c>
      <c r="J73" s="2" t="inlineStr">
        <is>
          <t>Yes</t>
        </is>
      </c>
      <c r="K73" s="5" t="n">
        <v>46168</v>
      </c>
      <c r="L73" s="4" t="n"/>
      <c r="M73" s="6">
        <f>HYPERLINK("https://leetcode.com/problems/reverse-bits/","Solve on LeetCode ↗")</f>
        <v/>
      </c>
      <c r="N73" s="6">
        <f>HYPERLINK("https://github.com/Prateek-5/question-bank/blob/main/DSA/Topics/Bit_Manipulation/learn/Reverse_Bits.md","View Walkthrough ↗")</f>
        <v/>
      </c>
    </row>
    <row r="74">
      <c r="A74" s="2" t="n">
        <v>73</v>
      </c>
      <c r="B74" s="2" t="inlineStr">
        <is>
          <t>Phase 2 · Structures &amp; Idioms</t>
        </is>
      </c>
      <c r="C74" s="2" t="inlineStr">
        <is>
          <t>🧮 Bit Manipulation</t>
        </is>
      </c>
      <c r="D74" s="2" t="inlineStr">
        <is>
          <t>XOR algebra</t>
        </is>
      </c>
      <c r="E74" s="2" t="n">
        <v>3</v>
      </c>
      <c r="F74" s="3" t="inlineStr">
        <is>
          <t>Must-do</t>
        </is>
      </c>
      <c r="G74" s="2" t="inlineStr">
        <is>
          <t>Single Number</t>
        </is>
      </c>
      <c r="H74" s="4" t="inlineStr">
        <is>
          <t>`a ^ a = 0`, `a ^ 0 = a`. XOR all elements; pairs cancel.</t>
        </is>
      </c>
      <c r="I74" s="2" t="inlineStr">
        <is>
          <t>Solved</t>
        </is>
      </c>
      <c r="J74" s="2" t="n"/>
      <c r="K74" s="5" t="n">
        <v>46168</v>
      </c>
      <c r="L74" s="4" t="n"/>
      <c r="M74" s="6">
        <f>HYPERLINK("https://leetcode.com/problems/single-number/","Solve on LeetCode ↗")</f>
        <v/>
      </c>
      <c r="N74" s="6">
        <f>HYPERLINK("https://github.com/Prateek-5/question-bank/blob/main/DSA/Topics/Bit_Manipulation/learn/Single_Number.md","View Walkthrough ↗")</f>
        <v/>
      </c>
    </row>
    <row r="75">
      <c r="A75" s="2" t="n">
        <v>74</v>
      </c>
      <c r="B75" s="2" t="inlineStr">
        <is>
          <t>Phase 2 · Structures &amp; Idioms</t>
        </is>
      </c>
      <c r="C75" s="2" t="inlineStr">
        <is>
          <t>🧮 Bit Manipulation</t>
        </is>
      </c>
      <c r="D75" s="2" t="inlineStr">
        <is>
          <t>XOR algebra</t>
        </is>
      </c>
      <c r="E75" s="2" t="n">
        <v>4</v>
      </c>
      <c r="F75" s="2" t="inlineStr"/>
      <c r="G75" s="2" t="inlineStr">
        <is>
          <t>Single Number II</t>
        </is>
      </c>
      <c r="H75" s="4" t="inlineStr">
        <is>
          <t>Bit-count mod 3, or two-counter state machine. The state-machine version is the senior signal.</t>
        </is>
      </c>
      <c r="I75" s="2" t="inlineStr">
        <is>
          <t>Solved</t>
        </is>
      </c>
      <c r="J75" s="2" t="inlineStr">
        <is>
          <t>Yes</t>
        </is>
      </c>
      <c r="K75" s="5" t="n">
        <v>46168</v>
      </c>
      <c r="L75" s="4" t="n"/>
      <c r="M75" s="6">
        <f>HYPERLINK("https://leetcode.com/problems/single-number-ii/","Solve on LeetCode ↗")</f>
        <v/>
      </c>
      <c r="N75" s="6">
        <f>HYPERLINK("https://github.com/Prateek-5/question-bank/blob/main/DSA/Topics/Bit_Manipulation/learn/Single_Number_II.md","View Walkthrough ↗")</f>
        <v/>
      </c>
    </row>
    <row r="76">
      <c r="A76" s="2" t="n">
        <v>75</v>
      </c>
      <c r="B76" s="2" t="inlineStr">
        <is>
          <t>Phase 2 · Structures &amp; Idioms</t>
        </is>
      </c>
      <c r="C76" s="2" t="inlineStr">
        <is>
          <t>🚦 Queues / Deque / Monotonic Queue</t>
        </is>
      </c>
      <c r="D76" s="2" t="inlineStr">
        <is>
          <t>Conversions — stack ↔ queue</t>
        </is>
      </c>
      <c r="E76" s="2" t="n">
        <v>1</v>
      </c>
      <c r="F76" s="3" t="inlineStr">
        <is>
          <t>Must-do</t>
        </is>
      </c>
      <c r="G76" s="2" t="inlineStr">
        <is>
          <t>Implement Queue using Stacks</t>
        </is>
      </c>
      <c r="H76" s="4" t="inlineStr">
        <is>
          <t>Two-stack amortized-O(1) pattern.</t>
        </is>
      </c>
      <c r="I76" s="2" t="inlineStr">
        <is>
          <t>Skipped</t>
        </is>
      </c>
      <c r="J76" s="2" t="n"/>
      <c r="K76" s="2" t="n"/>
      <c r="L76" s="4" t="n"/>
      <c r="M76" s="6">
        <f>HYPERLINK("https://leetcode.com/problems/implement-queue-using-stacks/","Solve on LeetCode ↗")</f>
        <v/>
      </c>
      <c r="N76" s="6">
        <f>HYPERLINK("https://github.com/Prateek-5/question-bank/blob/main/DSA/Topics/Queues_Deque_Monotonic_Queue/learn/Implement_Queue_using_Stacks.md","View Walkthrough ↗")</f>
        <v/>
      </c>
    </row>
    <row r="77">
      <c r="A77" s="2" t="n">
        <v>76</v>
      </c>
      <c r="B77" s="2" t="inlineStr">
        <is>
          <t>Phase 2 · Structures &amp; Idioms</t>
        </is>
      </c>
      <c r="C77" s="2" t="inlineStr">
        <is>
          <t>🚦 Queues / Deque / Monotonic Queue</t>
        </is>
      </c>
      <c r="D77" s="2" t="inlineStr">
        <is>
          <t>Conversions — stack ↔ queue</t>
        </is>
      </c>
      <c r="E77" s="2" t="n">
        <v>2</v>
      </c>
      <c r="F77" s="2" t="inlineStr"/>
      <c r="G77" s="2" t="inlineStr">
        <is>
          <t>Implement Stack using Queues</t>
        </is>
      </c>
      <c r="H77" s="4" t="inlineStr">
        <is>
          <t>Push-O(n) or pop-O(n) tradeoff.</t>
        </is>
      </c>
      <c r="I77" s="2" t="inlineStr">
        <is>
          <t>Skipped</t>
        </is>
      </c>
      <c r="J77" s="2" t="n"/>
      <c r="K77" s="2" t="n"/>
      <c r="L77" s="4" t="n"/>
      <c r="M77" s="6">
        <f>HYPERLINK("https://leetcode.com/problems/implement-stack-using-queues/","Solve on LeetCode ↗")</f>
        <v/>
      </c>
      <c r="N77" s="6">
        <f>HYPERLINK("https://github.com/Prateek-5/question-bank/blob/main/DSA/Topics/Queues_Deque_Monotonic_Queue/learn/Implement_Stack_using_Queues.md","View Walkthrough ↗")</f>
        <v/>
      </c>
    </row>
    <row r="78">
      <c r="A78" s="2" t="n">
        <v>77</v>
      </c>
      <c r="B78" s="2" t="inlineStr">
        <is>
          <t>Phase 2 · Structures &amp; Idioms</t>
        </is>
      </c>
      <c r="C78" s="2" t="inlineStr">
        <is>
          <t>🚦 Queues / Deque / Monotonic Queue</t>
        </is>
      </c>
      <c r="D78" s="2" t="inlineStr">
        <is>
          <t>Stack-flavored (sometimes filed here, sometimes in Stack)</t>
        </is>
      </c>
      <c r="E78" s="2" t="n">
        <v>3</v>
      </c>
      <c r="F78" s="2" t="inlineStr"/>
      <c r="G78" s="2" t="inlineStr">
        <is>
          <t>Longest Valid Parentheses</t>
        </is>
      </c>
      <c r="H78" s="4" t="inlineStr">
        <is>
          <t>Stack of indices; DP also works.</t>
        </is>
      </c>
      <c r="I78" s="2" t="inlineStr">
        <is>
          <t>Skipped</t>
        </is>
      </c>
      <c r="J78" s="2" t="n"/>
      <c r="K78" s="2" t="n"/>
      <c r="L78" s="4" t="n"/>
      <c r="M78" s="6">
        <f>HYPERLINK("https://leetcode.com/problems/longest-valid-parentheses/","Solve on LeetCode ↗")</f>
        <v/>
      </c>
      <c r="N78" s="6">
        <f>HYPERLINK("https://github.com/Prateek-5/question-bank/blob/main/DSA/Topics/Queues_Deque_Monotonic_Queue/learn/Longest_Valid_Parentheses.md","View Walkthrough ↗")</f>
        <v/>
      </c>
    </row>
    <row r="79">
      <c r="A79" s="2" t="n">
        <v>78</v>
      </c>
      <c r="B79" s="2" t="inlineStr">
        <is>
          <t>Phase 2 · Structures &amp; Idioms</t>
        </is>
      </c>
      <c r="C79" s="2" t="inlineStr">
        <is>
          <t>🚦 Queues / Deque / Monotonic Queue</t>
        </is>
      </c>
      <c r="D79" s="2" t="inlineStr">
        <is>
          <t>Greedy / circular array</t>
        </is>
      </c>
      <c r="E79" s="2" t="n">
        <v>4</v>
      </c>
      <c r="F79" s="3" t="inlineStr">
        <is>
          <t>Must-do</t>
        </is>
      </c>
      <c r="G79" s="2" t="inlineStr">
        <is>
          <t>Gas Station</t>
        </is>
      </c>
      <c r="H79" s="4" t="inlineStr">
        <is>
          <t>Single pass + reset-on-deficit. Tank tracks running balance.</t>
        </is>
      </c>
      <c r="I79" s="2" t="inlineStr">
        <is>
          <t>Skipped</t>
        </is>
      </c>
      <c r="J79" s="2" t="n"/>
      <c r="K79" s="2" t="n"/>
      <c r="L79" s="4" t="n"/>
      <c r="M79" s="6">
        <f>HYPERLINK("https://leetcode.com/problems/gas-station/","Solve on LeetCode ↗")</f>
        <v/>
      </c>
      <c r="N79" s="6">
        <f>HYPERLINK("https://github.com/Prateek-5/question-bank/blob/main/DSA/Topics/Queues_Deque_Monotonic_Queue/learn/Gas_Station.md","View Walkthrough ↗")</f>
        <v/>
      </c>
    </row>
    <row r="80">
      <c r="A80" s="2" t="n">
        <v>79</v>
      </c>
      <c r="B80" s="2" t="inlineStr">
        <is>
          <t>Phase 2 · Structures &amp; Idioms</t>
        </is>
      </c>
      <c r="C80" s="2" t="inlineStr">
        <is>
          <t>🚦 Queues / Deque / Monotonic Queue</t>
        </is>
      </c>
      <c r="D80" s="2" t="inlineStr">
        <is>
          <t>Monotonic deque — the real reason this topic exists</t>
        </is>
      </c>
      <c r="E80" s="2" t="n">
        <v>5</v>
      </c>
      <c r="F80" s="3" t="inlineStr">
        <is>
          <t>Must-do</t>
        </is>
      </c>
      <c r="G80" s="2" t="inlineStr">
        <is>
          <t>Sliding Window Maximum</t>
        </is>
      </c>
      <c r="H80" s="4" t="inlineStr">
        <is>
          <t>Decreasing deque; front is window max; pop back while smaller, pop front when out of window. (senior bar)</t>
        </is>
      </c>
      <c r="I80" s="2" t="inlineStr">
        <is>
          <t>Skipped</t>
        </is>
      </c>
      <c r="J80" s="2" t="n"/>
      <c r="K80" s="2" t="n"/>
      <c r="L80" s="4" t="n"/>
      <c r="M80" s="6">
        <f>HYPERLINK("https://leetcode.com/problems/sliding-window-maximum/","Solve on LeetCode ↗")</f>
        <v/>
      </c>
      <c r="N80" s="6">
        <f>HYPERLINK("https://github.com/Prateek-5/question-bank/blob/main/DSA/Topics/Queues_Deque_Monotonic_Queue/learn/Sliding_Window_Maximum.md","View Walkthrough ↗")</f>
        <v/>
      </c>
    </row>
    <row r="81">
      <c r="A81" s="2" t="n">
        <v>80</v>
      </c>
      <c r="B81" s="2" t="inlineStr">
        <is>
          <t>Phase 2 · Structures &amp; Idioms</t>
        </is>
      </c>
      <c r="C81" s="2" t="inlineStr">
        <is>
          <t>🔄 Sorting / Divide &amp; Conquer</t>
        </is>
      </c>
      <c r="D81" s="2" t="inlineStr">
        <is>
          <t>Dutch flag — 3-way partition</t>
        </is>
      </c>
      <c r="E81" s="2" t="n">
        <v>1</v>
      </c>
      <c r="F81" s="3" t="inlineStr">
        <is>
          <t>Must-do</t>
        </is>
      </c>
      <c r="G81" s="2" t="inlineStr">
        <is>
          <t>Sort Colors</t>
        </is>
      </c>
      <c r="H81" s="4" t="inlineStr">
        <is>
          <t>Three pointers `lo, mid, hi`. The classic.</t>
        </is>
      </c>
      <c r="I81" s="2" t="inlineStr">
        <is>
          <t>Not Started</t>
        </is>
      </c>
      <c r="J81" s="2" t="n"/>
      <c r="K81" s="2" t="n"/>
      <c r="L81" s="4" t="n"/>
      <c r="M81" s="6">
        <f>HYPERLINK("https://leetcode.com/problems/sort-colors/","Solve on LeetCode ↗")</f>
        <v/>
      </c>
      <c r="N81" s="6">
        <f>HYPERLINK("https://github.com/Prateek-5/question-bank/blob/main/DSA/Topics/Sorting_Divide_and_Conquer/learn/Sort_Colors.md","View Walkthrough ↗")</f>
        <v/>
      </c>
    </row>
    <row r="82">
      <c r="A82" s="2" t="n">
        <v>81</v>
      </c>
      <c r="B82" s="2" t="inlineStr">
        <is>
          <t>Phase 2 · Structures &amp; Idioms</t>
        </is>
      </c>
      <c r="C82" s="2" t="inlineStr">
        <is>
          <t>🔄 Sorting / Divide &amp; Conquer</t>
        </is>
      </c>
      <c r="D82" s="2" t="inlineStr">
        <is>
          <t>Quickselect</t>
        </is>
      </c>
      <c r="E82" s="2" t="n">
        <v>2</v>
      </c>
      <c r="F82" s="3" t="inlineStr">
        <is>
          <t>Must-do</t>
        </is>
      </c>
      <c r="G82" s="2" t="inlineStr">
        <is>
          <t>Kth Largest Element in an Array</t>
        </is>
      </c>
      <c r="H82" s="4" t="inlineStr">
        <is>
          <t>Partition until pivot lands at index k. Average O(n). (also lives in Heap with O(n log k) approach — compare)</t>
        </is>
      </c>
      <c r="I82" s="2" t="inlineStr">
        <is>
          <t>Not Started</t>
        </is>
      </c>
      <c r="J82" s="2" t="n"/>
      <c r="K82" s="2" t="n"/>
      <c r="L82" s="4" t="n"/>
      <c r="M82" s="6">
        <f>HYPERLINK("https://leetcode.com/problems/kth-largest-element-in-an-array/","Solve on LeetCode ↗")</f>
        <v/>
      </c>
      <c r="N82" s="6">
        <f>HYPERLINK("https://github.com/Prateek-5/question-bank/blob/main/DSA/Topics/Sorting_Divide_and_Conquer/learn/Kth_Largest_Element_in_an_Array.md","View Walkthrough ↗")</f>
        <v/>
      </c>
    </row>
    <row r="83">
      <c r="A83" s="2" t="n">
        <v>82</v>
      </c>
      <c r="B83" s="2" t="inlineStr">
        <is>
          <t>Phase 2 · Structures &amp; Idioms</t>
        </is>
      </c>
      <c r="C83" s="2" t="inlineStr">
        <is>
          <t>🔄 Sorting / Divide &amp; Conquer</t>
        </is>
      </c>
      <c r="D83" s="2" t="inlineStr">
        <is>
          <t>Counting via merge sort</t>
        </is>
      </c>
      <c r="E83" s="2" t="n">
        <v>3</v>
      </c>
      <c r="F83" s="2" t="inlineStr"/>
      <c r="G83" s="2" t="inlineStr">
        <is>
          <t>Reverse Pairs</t>
        </is>
      </c>
      <c r="H83" s="4" t="inlineStr">
        <is>
          <t>During merge, count `i, j` with `nums[i] &gt; 2*nums[j]`. Senior bar.</t>
        </is>
      </c>
      <c r="I83" s="2" t="inlineStr">
        <is>
          <t>Not Started</t>
        </is>
      </c>
      <c r="J83" s="2" t="n"/>
      <c r="K83" s="2" t="n"/>
      <c r="L83" s="4" t="n"/>
      <c r="M83" s="6">
        <f>HYPERLINK("https://leetcode.com/problems/reverse-pairs/","Solve on LeetCode ↗")</f>
        <v/>
      </c>
      <c r="N83" s="6">
        <f>HYPERLINK("https://github.com/Prateek-5/question-bank/blob/main/DSA/Topics/Sorting_Divide_and_Conquer/learn/Reverse_Pairs.md","View Walkthrough ↗")</f>
        <v/>
      </c>
    </row>
    <row r="84">
      <c r="A84" s="2" t="n">
        <v>83</v>
      </c>
      <c r="B84" s="2" t="inlineStr">
        <is>
          <t>Phase 2 · Structures &amp; Idioms</t>
        </is>
      </c>
      <c r="C84" s="2" t="inlineStr">
        <is>
          <t>🔄 Sorting / Divide &amp; Conquer</t>
        </is>
      </c>
      <c r="D84" s="2" t="inlineStr">
        <is>
          <t>Counting via merge sort</t>
        </is>
      </c>
      <c r="E84" s="2" t="n">
        <v>4</v>
      </c>
      <c r="F84" s="2" t="inlineStr"/>
      <c r="G84" s="2" t="inlineStr">
        <is>
          <t>Count of Smaller Numbers After Self</t>
        </is>
      </c>
      <c r="H84" s="4" t="inlineStr">
        <is>
          <t>Same idea — count during merge, but track original indices.</t>
        </is>
      </c>
      <c r="I84" s="2" t="inlineStr">
        <is>
          <t>Not Started</t>
        </is>
      </c>
      <c r="J84" s="2" t="n"/>
      <c r="K84" s="2" t="n"/>
      <c r="L84" s="4" t="n"/>
      <c r="M84" s="6">
        <f>HYPERLINK("https://leetcode.com/problems/count-of-smaller-numbers-after-self/","Solve on LeetCode ↗")</f>
        <v/>
      </c>
      <c r="N84" s="6">
        <f>HYPERLINK("https://github.com/Prateek-5/question-bank/blob/main/DSA/Topics/Sorting_Divide_and_Conquer/learn/Count_of_Smaller_Numbers_After_Self.md","View Walkthrough ↗")</f>
        <v/>
      </c>
    </row>
    <row r="85">
      <c r="A85" s="2" t="n">
        <v>84</v>
      </c>
      <c r="B85" s="2" t="inlineStr">
        <is>
          <t>Phase 2 · Structures &amp; Idioms</t>
        </is>
      </c>
      <c r="C85" s="2" t="inlineStr">
        <is>
          <t>🔄 Sorting / Divide &amp; Conquer</t>
        </is>
      </c>
      <c r="D85" s="2" t="inlineStr">
        <is>
          <t>Observation / greedy</t>
        </is>
      </c>
      <c r="E85" s="2" t="n">
        <v>5</v>
      </c>
      <c r="F85" s="2" t="inlineStr"/>
      <c r="G85" s="2" t="inlineStr">
        <is>
          <t>Minimum Number of Bottles Visible</t>
        </is>
      </c>
      <c r="H85" s="4" t="inlineStr">
        <is>
          <t>Sort + greedy stacking.</t>
        </is>
      </c>
      <c r="I85" s="2" t="inlineStr">
        <is>
          <t>Not Started</t>
        </is>
      </c>
      <c r="J85" s="2" t="n"/>
      <c r="K85" s="2" t="n"/>
      <c r="L85" s="4" t="n"/>
      <c r="M85" s="6">
        <f>HYPERLINK("https://leetcode.com/problems/minimum-number-of-bottles-visible-when-standing-on-a-shelf/","Solve on LeetCode ↗")</f>
        <v/>
      </c>
      <c r="N85" s="6">
        <f>HYPERLINK("https://github.com/Prateek-5/question-bank/blob/main/DSA/Topics/Sorting_Divide_and_Conquer/learn/Minimum_Number_of_Bottles_Visible.md","View Walkthrough ↗")</f>
        <v/>
      </c>
    </row>
    <row r="86">
      <c r="A86" s="2" t="n">
        <v>85</v>
      </c>
      <c r="B86" s="2" t="inlineStr">
        <is>
          <t>Phase 2 · Structures &amp; Idioms</t>
        </is>
      </c>
      <c r="C86" s="2" t="inlineStr">
        <is>
          <t>🔄 Sorting / Divide &amp; Conquer</t>
        </is>
      </c>
      <c r="D86" s="2" t="inlineStr">
        <is>
          <t>Misfit (BFS — slotted here historically)</t>
        </is>
      </c>
      <c r="E86" s="2" t="n">
        <v>6</v>
      </c>
      <c r="F86" s="2" t="inlineStr"/>
      <c r="G86" s="2" t="inlineStr">
        <is>
          <t>Open the Lock</t>
        </is>
      </c>
      <c r="H86" s="4" t="inlineStr">
        <is>
          <t>BFS on the state graph; mention this is really a Graph problem.</t>
        </is>
      </c>
      <c r="I86" s="2" t="inlineStr">
        <is>
          <t>Not Started</t>
        </is>
      </c>
      <c r="J86" s="2" t="n"/>
      <c r="K86" s="2" t="n"/>
      <c r="L86" s="4" t="n"/>
      <c r="M86" s="6">
        <f>HYPERLINK("https://leetcode.com/problems/open-the-lock/","Solve on LeetCode ↗")</f>
        <v/>
      </c>
      <c r="N86" s="6">
        <f>HYPERLINK("https://github.com/Prateek-5/question-bank/blob/main/DSA/Topics/Sorting_Divide_and_Conquer/learn/Open_the_Lock.md","View Walkthrough ↗")</f>
        <v/>
      </c>
    </row>
    <row r="87">
      <c r="A87" s="2" t="n">
        <v>86</v>
      </c>
      <c r="B87" s="2" t="inlineStr">
        <is>
          <t>Phase 2 · Structures &amp; Idioms</t>
        </is>
      </c>
      <c r="C87" s="2" t="inlineStr">
        <is>
          <t>🔁 Recursion</t>
        </is>
      </c>
      <c r="D87" s="2" t="inlineStr">
        <is>
          <t>Subsets — include/exclude</t>
        </is>
      </c>
      <c r="E87" s="2" t="n">
        <v>1</v>
      </c>
      <c r="F87" s="3" t="inlineStr">
        <is>
          <t>Must-do</t>
        </is>
      </c>
      <c r="G87" s="2" t="inlineStr">
        <is>
          <t>Subsets</t>
        </is>
      </c>
      <c r="H87" s="4" t="inlineStr">
        <is>
          <t>At each index, branch include/exclude. Or bitmask iteration.</t>
        </is>
      </c>
      <c r="I87" s="2" t="inlineStr">
        <is>
          <t>Skipped</t>
        </is>
      </c>
      <c r="J87" s="2" t="n"/>
      <c r="K87" s="2" t="n"/>
      <c r="L87" s="4" t="n"/>
      <c r="M87" s="6">
        <f>HYPERLINK("https://leetcode.com/problems/subsets/","Solve on LeetCode ↗")</f>
        <v/>
      </c>
      <c r="N87" s="6">
        <f>HYPERLINK("https://github.com/Prateek-5/question-bank/blob/main/DSA/Topics/Recursion/learn/Subsets.md","View Walkthrough ↗")</f>
        <v/>
      </c>
    </row>
    <row r="88">
      <c r="A88" s="2" t="n">
        <v>87</v>
      </c>
      <c r="B88" s="2" t="inlineStr">
        <is>
          <t>Phase 2 · Structures &amp; Idioms</t>
        </is>
      </c>
      <c r="C88" s="2" t="inlineStr">
        <is>
          <t>🔁 Recursion</t>
        </is>
      </c>
      <c r="D88" s="2" t="inlineStr">
        <is>
          <t>Subsets — include/exclude</t>
        </is>
      </c>
      <c r="E88" s="2" t="n">
        <v>2</v>
      </c>
      <c r="F88" s="2" t="inlineStr"/>
      <c r="G88" s="2" t="inlineStr">
        <is>
          <t>Subsets II</t>
        </is>
      </c>
      <c r="H88" s="4" t="inlineStr">
        <is>
          <t>Sort + skip duplicate at the same depth.</t>
        </is>
      </c>
      <c r="I88" s="2" t="inlineStr">
        <is>
          <t>Solved</t>
        </is>
      </c>
      <c r="J88" s="2" t="inlineStr">
        <is>
          <t>Yes</t>
        </is>
      </c>
      <c r="K88" s="5" t="n">
        <v>46179</v>
      </c>
      <c r="L88" s="4" t="n"/>
      <c r="M88" s="6">
        <f>HYPERLINK("https://leetcode.com/problems/subsets-ii/","Solve on LeetCode ↗")</f>
        <v/>
      </c>
      <c r="N88" s="6">
        <f>HYPERLINK("https://github.com/Prateek-5/question-bank/blob/main/DSA/Topics/Recursion/learn/Subsets_II.md","View Walkthrough ↗")</f>
        <v/>
      </c>
    </row>
    <row r="89">
      <c r="A89" s="2" t="n">
        <v>88</v>
      </c>
      <c r="B89" s="2" t="inlineStr">
        <is>
          <t>Phase 2 · Structures &amp; Idioms</t>
        </is>
      </c>
      <c r="C89" s="2" t="inlineStr">
        <is>
          <t>🔁 Recursion</t>
        </is>
      </c>
      <c r="D89" s="2" t="inlineStr">
        <is>
          <t>Permutations — used[] flag set</t>
        </is>
      </c>
      <c r="E89" s="2" t="n">
        <v>3</v>
      </c>
      <c r="F89" s="3" t="inlineStr">
        <is>
          <t>Must-do</t>
        </is>
      </c>
      <c r="G89" s="2" t="inlineStr">
        <is>
          <t>Permutations</t>
        </is>
      </c>
      <c r="H89" s="4" t="inlineStr">
        <is>
          <t>For each position, try each unused element.</t>
        </is>
      </c>
      <c r="I89" s="2" t="inlineStr">
        <is>
          <t>Solved</t>
        </is>
      </c>
      <c r="J89" s="2" t="inlineStr">
        <is>
          <t>Yes</t>
        </is>
      </c>
      <c r="K89" s="5" t="n">
        <v>46185</v>
      </c>
      <c r="L89" s="4" t="n"/>
      <c r="M89" s="6">
        <f>HYPERLINK("https://leetcode.com/problems/permutations/","Solve on LeetCode ↗")</f>
        <v/>
      </c>
      <c r="N89" s="6">
        <f>HYPERLINK("https://github.com/Prateek-5/question-bank/blob/main/DSA/Topics/Recursion/learn/Permutations.md","View Walkthrough ↗")</f>
        <v/>
      </c>
    </row>
    <row r="90">
      <c r="A90" s="2" t="n">
        <v>89</v>
      </c>
      <c r="B90" s="2" t="inlineStr">
        <is>
          <t>Phase 2 · Structures &amp; Idioms</t>
        </is>
      </c>
      <c r="C90" s="2" t="inlineStr">
        <is>
          <t>🔁 Recursion</t>
        </is>
      </c>
      <c r="D90" s="2" t="inlineStr">
        <is>
          <t>Permutations — used[] flag set</t>
        </is>
      </c>
      <c r="E90" s="2" t="n">
        <v>4</v>
      </c>
      <c r="F90" s="2" t="inlineStr"/>
      <c r="G90" s="2" t="inlineStr">
        <is>
          <t>Permutations II</t>
        </is>
      </c>
      <c r="H90" s="4" t="inlineStr">
        <is>
          <t>Sort + `!used[i-1] &amp;&amp; nums[i] == nums[i-1] → skip` dedup. The classic subtle rule.</t>
        </is>
      </c>
      <c r="I90" s="2" t="inlineStr">
        <is>
          <t>Skipped</t>
        </is>
      </c>
      <c r="J90" s="2" t="n"/>
      <c r="K90" s="2" t="n"/>
      <c r="L90" s="4" t="n"/>
      <c r="M90" s="6">
        <f>HYPERLINK("https://leetcode.com/problems/permutations-ii/","Solve on LeetCode ↗")</f>
        <v/>
      </c>
      <c r="N90" s="6">
        <f>HYPERLINK("https://github.com/Prateek-5/question-bank/blob/main/DSA/Topics/Recursion/learn/Permutations_II.md","View Walkthrough ↗")</f>
        <v/>
      </c>
    </row>
    <row r="91">
      <c r="A91" s="2" t="n">
        <v>90</v>
      </c>
      <c r="B91" s="2" t="inlineStr">
        <is>
          <t>Phase 2 · Structures &amp; Idioms</t>
        </is>
      </c>
      <c r="C91" s="2" t="inlineStr">
        <is>
          <t>🔁 Recursion</t>
        </is>
      </c>
      <c r="D91" s="2" t="inlineStr">
        <is>
          <t>Combination with pruning</t>
        </is>
      </c>
      <c r="E91" s="2" t="n">
        <v>5</v>
      </c>
      <c r="F91" s="2" t="inlineStr"/>
      <c r="G91" s="2" t="inlineStr">
        <is>
          <t>Combination Sum II</t>
        </is>
      </c>
      <c r="H91" s="4" t="inlineStr">
        <is>
          <t>Sort + skip duplicates + early break when sum &gt; target.</t>
        </is>
      </c>
      <c r="I91" s="2" t="inlineStr">
        <is>
          <t>Not Started</t>
        </is>
      </c>
      <c r="J91" s="2" t="n"/>
      <c r="K91" s="2" t="n"/>
      <c r="L91" s="4" t="n"/>
      <c r="M91" s="6">
        <f>HYPERLINK("https://leetcode.com/problems/combination-sum-ii/","Solve on LeetCode ↗")</f>
        <v/>
      </c>
      <c r="N91" s="6">
        <f>HYPERLINK("https://github.com/Prateek-5/question-bank/blob/main/DSA/Topics/Recursion/learn/Combination_Sum_II.md","View Walkthrough ↗")</f>
        <v/>
      </c>
    </row>
    <row r="92">
      <c r="A92" s="2" t="n">
        <v>91</v>
      </c>
      <c r="B92" s="2" t="inlineStr">
        <is>
          <t>Phase 2 · Structures &amp; Idioms</t>
        </is>
      </c>
      <c r="C92" s="2" t="inlineStr">
        <is>
          <t>🔁 Recursion</t>
        </is>
      </c>
      <c r="D92" s="2" t="inlineStr">
        <is>
          <t>Constraint-driven — N-Queens</t>
        </is>
      </c>
      <c r="E92" s="2" t="n">
        <v>6</v>
      </c>
      <c r="F92" s="3" t="inlineStr">
        <is>
          <t>Must-do</t>
        </is>
      </c>
      <c r="G92" s="2" t="inlineStr">
        <is>
          <t>N Queens</t>
        </is>
      </c>
      <c r="H92" s="4" t="inlineStr">
        <is>
          <t>Track cols, diag1 (r-c), diag2 (r+c) as Sets for O(1) check. Sets &gt; board-scan.</t>
        </is>
      </c>
      <c r="I92" s="2" t="inlineStr">
        <is>
          <t>Skipped</t>
        </is>
      </c>
      <c r="J92" s="2" t="n"/>
      <c r="K92" s="2" t="n"/>
      <c r="L92" s="4" t="n"/>
      <c r="M92" s="6">
        <f>HYPERLINK("https://leetcode.com/problems/n-queens/","Solve on LeetCode ↗")</f>
        <v/>
      </c>
      <c r="N92" s="6">
        <f>HYPERLINK("https://github.com/Prateek-5/question-bank/blob/main/DSA/Topics/Recursion/learn/N_Queens.md","View Walkthrough ↗")</f>
        <v/>
      </c>
    </row>
    <row r="93">
      <c r="A93" s="2" t="n">
        <v>92</v>
      </c>
      <c r="B93" s="2" t="inlineStr">
        <is>
          <t>Phase 2 · Structures &amp; Idioms</t>
        </is>
      </c>
      <c r="C93" s="2" t="inlineStr">
        <is>
          <t>♟️ Backtracking</t>
        </is>
      </c>
      <c r="D93" s="2" t="inlineStr">
        <is>
          <t>General</t>
        </is>
      </c>
      <c r="E93" s="2" t="n">
        <v>1</v>
      </c>
      <c r="F93" s="3" t="inlineStr">
        <is>
          <t>Must-do</t>
        </is>
      </c>
      <c r="G93" s="2" t="inlineStr">
        <is>
          <t>Generate Parentheses</t>
        </is>
      </c>
      <c r="H93" s="4" t="inlineStr">
        <is>
          <t>Two counters (`open`, `close`); place `(` if `open &lt; n`, place `)` if `close &lt; open`. Catalan C(n) outputs.</t>
        </is>
      </c>
      <c r="I93" s="2" t="inlineStr">
        <is>
          <t>Not Started</t>
        </is>
      </c>
      <c r="J93" s="2" t="n"/>
      <c r="K93" s="2" t="n"/>
      <c r="L93" s="4" t="n"/>
      <c r="M93" s="6">
        <f>HYPERLINK("https://leetcode.com/problems/generate-parentheses/","Solve on LeetCode ↗")</f>
        <v/>
      </c>
      <c r="N93" s="6">
        <f>HYPERLINK("https://github.com/Prateek-5/question-bank/blob/main/DSA/Topics/Backtracking/learn/Generate_Parentheses.md","View Walkthrough ↗")</f>
        <v/>
      </c>
    </row>
    <row r="94">
      <c r="A94" s="2" t="n">
        <v>93</v>
      </c>
      <c r="B94" s="2" t="inlineStr">
        <is>
          <t>Phase 2 · Structures &amp; Idioms</t>
        </is>
      </c>
      <c r="C94" s="2" t="inlineStr">
        <is>
          <t>♟️ Backtracking</t>
        </is>
      </c>
      <c r="D94" s="2" t="inlineStr">
        <is>
          <t>General</t>
        </is>
      </c>
      <c r="E94" s="2" t="n">
        <v>2</v>
      </c>
      <c r="F94" s="3" t="inlineStr">
        <is>
          <t>Must-do</t>
        </is>
      </c>
      <c r="G94" s="2" t="inlineStr">
        <is>
          <t>Palindrome Partitioning</t>
        </is>
      </c>
      <c r="H94" s="4" t="inlineStr">
        <is>
          <t>At each index, try all palindrome prefixes; recurse on the rest.</t>
        </is>
      </c>
      <c r="I94" s="2" t="inlineStr">
        <is>
          <t>Not Started</t>
        </is>
      </c>
      <c r="J94" s="2" t="n"/>
      <c r="K94" s="2" t="n"/>
      <c r="L94" s="4" t="n"/>
      <c r="M94" s="6">
        <f>HYPERLINK("https://leetcode.com/problems/palindrome-partitioning/","Solve on LeetCode ↗")</f>
        <v/>
      </c>
      <c r="N94" s="6">
        <f>HYPERLINK("https://github.com/Prateek-5/question-bank/blob/main/DSA/Topics/Backtracking/learn/Palindrome_Partitioning.md","View Walkthrough ↗")</f>
        <v/>
      </c>
    </row>
    <row r="95">
      <c r="A95" s="2" t="n">
        <v>94</v>
      </c>
      <c r="B95" s="2" t="inlineStr">
        <is>
          <t>Phase 2 · Structures &amp; Idioms</t>
        </is>
      </c>
      <c r="C95" s="2" t="inlineStr">
        <is>
          <t>♟️ Backtracking</t>
        </is>
      </c>
      <c r="D95" s="2" t="inlineStr">
        <is>
          <t>General</t>
        </is>
      </c>
      <c r="E95" s="2" t="n">
        <v>3</v>
      </c>
      <c r="F95" s="2" t="inlineStr"/>
      <c r="G95" s="2" t="inlineStr">
        <is>
          <t>Gray Code</t>
        </is>
      </c>
      <c r="H95" s="4" t="inlineStr">
        <is>
          <t>Generate by XOR pattern (`i ^ (i &gt;&gt; 1)`) or recursive mirror-prefix.</t>
        </is>
      </c>
      <c r="I95" s="2" t="inlineStr">
        <is>
          <t>Not Started</t>
        </is>
      </c>
      <c r="J95" s="2" t="n"/>
      <c r="K95" s="2" t="n"/>
      <c r="L95" s="4" t="n"/>
      <c r="M95" s="6">
        <f>HYPERLINK("https://leetcode.com/problems/gray-code/","Solve on LeetCode ↗")</f>
        <v/>
      </c>
      <c r="N95" s="6">
        <f>HYPERLINK("https://github.com/Prateek-5/question-bank/blob/main/DSA/Topics/Backtracking/learn/Gray_Code.md","View Walkthrough ↗")</f>
        <v/>
      </c>
    </row>
    <row r="96">
      <c r="A96" s="2" t="n">
        <v>95</v>
      </c>
      <c r="B96" s="2" t="inlineStr">
        <is>
          <t>Phase 2 · Structures &amp; Idioms</t>
        </is>
      </c>
      <c r="C96" s="2" t="inlineStr">
        <is>
          <t>♟️ Backtracking</t>
        </is>
      </c>
      <c r="D96" s="2" t="inlineStr">
        <is>
          <t>General</t>
        </is>
      </c>
      <c r="E96" s="2" t="n">
        <v>4</v>
      </c>
      <c r="F96" s="3" t="inlineStr">
        <is>
          <t>Must-do</t>
        </is>
      </c>
      <c r="G96" s="2" t="inlineStr">
        <is>
          <t>Sudoku Solver</t>
        </is>
      </c>
      <c r="H96" s="4" t="inlineStr">
        <is>
          <t>Backtracking with three constraint Sets (rows, cols, boxes). The hardest. for senior interviews.</t>
        </is>
      </c>
      <c r="I96" s="2" t="inlineStr">
        <is>
          <t>Not Started</t>
        </is>
      </c>
      <c r="J96" s="2" t="n"/>
      <c r="K96" s="2" t="n"/>
      <c r="L96" s="4" t="n"/>
      <c r="M96" s="6">
        <f>HYPERLINK("https://leetcode.com/problems/sudoku-solver/","Solve on LeetCode ↗")</f>
        <v/>
      </c>
      <c r="N96" s="6">
        <f>HYPERLINK("https://github.com/Prateek-5/question-bank/blob/main/DSA/Topics/Backtracking/learn/Sudoku_Solver.md","View Walkthrough ↗")</f>
        <v/>
      </c>
    </row>
    <row r="97">
      <c r="A97" s="2" t="n">
        <v>96</v>
      </c>
      <c r="B97" s="2" t="inlineStr">
        <is>
          <t>Phase 3 · Trees &amp; Graphs</t>
        </is>
      </c>
      <c r="C97" s="2" t="inlineStr">
        <is>
          <t>🌳 Trees / Binary Trees</t>
        </is>
      </c>
      <c r="D97" s="2" t="inlineStr">
        <is>
          <t>Traversals — the foundation</t>
        </is>
      </c>
      <c r="E97" s="2" t="n">
        <v>1</v>
      </c>
      <c r="F97" s="3" t="inlineStr">
        <is>
          <t>Must-do</t>
        </is>
      </c>
      <c r="G97" s="2" t="inlineStr">
        <is>
          <t>Binary Tree Preorder Traversal</t>
        </is>
      </c>
      <c r="H97" s="4" t="inlineStr">
        <is>
          <t>Visit, left, right.</t>
        </is>
      </c>
      <c r="I97" s="2" t="inlineStr">
        <is>
          <t>Solved</t>
        </is>
      </c>
      <c r="J97" s="2" t="n"/>
      <c r="K97" s="5" t="n">
        <v>46186</v>
      </c>
      <c r="L97" s="4" t="n"/>
      <c r="M97" s="6">
        <f>HYPERLINK("https://leetcode.com/problems/binary-tree-preorder-traversal/","Solve on LeetCode ↗")</f>
        <v/>
      </c>
      <c r="N97" s="6">
        <f>HYPERLINK("https://github.com/Prateek-5/question-bank/blob/main/DSA/Topics/Trees_Binary_Trees/learn/Binary_Tree_Preorder_Traversal.md","View Walkthrough ↗")</f>
        <v/>
      </c>
    </row>
    <row r="98">
      <c r="A98" s="2" t="n">
        <v>97</v>
      </c>
      <c r="B98" s="2" t="inlineStr">
        <is>
          <t>Phase 3 · Trees &amp; Graphs</t>
        </is>
      </c>
      <c r="C98" s="2" t="inlineStr">
        <is>
          <t>🌳 Trees / Binary Trees</t>
        </is>
      </c>
      <c r="D98" s="2" t="inlineStr">
        <is>
          <t>Traversals — the foundation</t>
        </is>
      </c>
      <c r="E98" s="2" t="n">
        <v>2</v>
      </c>
      <c r="F98" s="3" t="inlineStr">
        <is>
          <t>Must-do</t>
        </is>
      </c>
      <c r="G98" s="2" t="inlineStr">
        <is>
          <t>Binary Tree Inorder Traversal</t>
        </is>
      </c>
      <c r="H98" s="4" t="inlineStr">
        <is>
          <t>Left, visit, right. Sorted on BSTs.</t>
        </is>
      </c>
      <c r="I98" s="2" t="inlineStr">
        <is>
          <t>Solved</t>
        </is>
      </c>
      <c r="J98" s="2" t="n"/>
      <c r="K98" s="5" t="n">
        <v>46186</v>
      </c>
      <c r="L98" s="4" t="n"/>
      <c r="M98" s="6">
        <f>HYPERLINK("https://leetcode.com/problems/binary-tree-inorder-traversal/","Solve on LeetCode ↗")</f>
        <v/>
      </c>
      <c r="N98" s="6">
        <f>HYPERLINK("https://github.com/Prateek-5/question-bank/blob/main/DSA/Topics/Trees_Binary_Trees/learn/Binary_Tree_Inorder_Traversal.md","View Walkthrough ↗")</f>
        <v/>
      </c>
    </row>
    <row r="99">
      <c r="A99" s="2" t="n">
        <v>98</v>
      </c>
      <c r="B99" s="2" t="inlineStr">
        <is>
          <t>Phase 3 · Trees &amp; Graphs</t>
        </is>
      </c>
      <c r="C99" s="2" t="inlineStr">
        <is>
          <t>🌳 Trees / Binary Trees</t>
        </is>
      </c>
      <c r="D99" s="2" t="inlineStr">
        <is>
          <t>Traversals — the foundation</t>
        </is>
      </c>
      <c r="E99" s="2" t="n">
        <v>3</v>
      </c>
      <c r="F99" s="3" t="inlineStr">
        <is>
          <t>Must-do</t>
        </is>
      </c>
      <c r="G99" s="2" t="inlineStr">
        <is>
          <t>Binary Tree Postorder Traversal</t>
        </is>
      </c>
      <c r="H99" s="4" t="inlineStr">
        <is>
          <t>Left, right, visit.</t>
        </is>
      </c>
      <c r="I99" s="2" t="inlineStr">
        <is>
          <t>Solved</t>
        </is>
      </c>
      <c r="J99" s="2" t="n"/>
      <c r="K99" s="5" t="n">
        <v>46186</v>
      </c>
      <c r="L99" s="4" t="n"/>
      <c r="M99" s="6">
        <f>HYPERLINK("https://leetcode.com/problems/binary-tree-postorder-traversal/","Solve on LeetCode ↗")</f>
        <v/>
      </c>
      <c r="N99" s="6">
        <f>HYPERLINK("https://github.com/Prateek-5/question-bank/blob/main/DSA/Topics/Trees_Binary_Trees/learn/Binary_Tree_Postorder_Traversal.md","View Walkthrough ↗")</f>
        <v/>
      </c>
    </row>
    <row r="100">
      <c r="A100" s="2" t="n">
        <v>99</v>
      </c>
      <c r="B100" s="2" t="inlineStr">
        <is>
          <t>Phase 3 · Trees &amp; Graphs</t>
        </is>
      </c>
      <c r="C100" s="2" t="inlineStr">
        <is>
          <t>🌳 Trees / Binary Trees</t>
        </is>
      </c>
      <c r="D100" s="2" t="inlineStr">
        <is>
          <t>Traversals — the foundation</t>
        </is>
      </c>
      <c r="E100" s="2" t="n">
        <v>4</v>
      </c>
      <c r="F100" s="3" t="inlineStr">
        <is>
          <t>Must-do</t>
        </is>
      </c>
      <c r="G100" s="2" t="inlineStr">
        <is>
          <t>Binary Tree Inorder Traversal Iterative</t>
        </is>
      </c>
      <c r="H100" s="4" t="inlineStr">
        <is>
          <t>Explicit stack; the "leftmost-first" pattern.</t>
        </is>
      </c>
      <c r="I100" s="2" t="inlineStr">
        <is>
          <t>Skipped</t>
        </is>
      </c>
      <c r="J100" s="2" t="n"/>
      <c r="K100" s="2" t="n"/>
      <c r="L100" s="4" t="n"/>
      <c r="M100" s="6">
        <f>HYPERLINK("https://leetcode.com/problems/binary-tree-inorder-traversal/","Solve on LeetCode ↗")</f>
        <v/>
      </c>
      <c r="N100" s="6">
        <f>HYPERLINK("https://github.com/Prateek-5/question-bank/blob/main/DSA/Topics/Trees_Binary_Trees/learn/Binary_Tree_Inorder_Traversal_Iterative.md","View Walkthrough ↗")</f>
        <v/>
      </c>
    </row>
    <row r="101">
      <c r="A101" s="2" t="n">
        <v>100</v>
      </c>
      <c r="B101" s="2" t="inlineStr">
        <is>
          <t>Phase 3 · Trees &amp; Graphs</t>
        </is>
      </c>
      <c r="C101" s="2" t="inlineStr">
        <is>
          <t>🌳 Trees / Binary Trees</t>
        </is>
      </c>
      <c r="D101" s="2" t="inlineStr">
        <is>
          <t>Traversals — the foundation</t>
        </is>
      </c>
      <c r="E101" s="2" t="n">
        <v>5</v>
      </c>
      <c r="F101" s="3" t="inlineStr">
        <is>
          <t>Must-do</t>
        </is>
      </c>
      <c r="G101" s="2" t="inlineStr">
        <is>
          <t>Binary Tree Level Order Traversal</t>
        </is>
      </c>
      <c r="H101" s="4" t="inlineStr">
        <is>
          <t>BFS with queue; snapshot per level.</t>
        </is>
      </c>
      <c r="I101" s="2" t="inlineStr">
        <is>
          <t>Solved</t>
        </is>
      </c>
      <c r="J101" s="2" t="n"/>
      <c r="K101" s="5" t="n">
        <v>46186</v>
      </c>
      <c r="L101" s="4" t="n"/>
      <c r="M101" s="6">
        <f>HYPERLINK("https://leetcode.com/problems/binary-tree-level-order-traversal/","Solve on LeetCode ↗")</f>
        <v/>
      </c>
      <c r="N101" s="6">
        <f>HYPERLINK("https://github.com/Prateek-5/question-bank/blob/main/DSA/Topics/Trees_Binary_Trees/learn/Binary_Tree_Level_Order_Traversal.md","View Walkthrough ↗")</f>
        <v/>
      </c>
    </row>
    <row r="102">
      <c r="A102" s="2" t="n">
        <v>101</v>
      </c>
      <c r="B102" s="2" t="inlineStr">
        <is>
          <t>Phase 3 · Trees &amp; Graphs</t>
        </is>
      </c>
      <c r="C102" s="2" t="inlineStr">
        <is>
          <t>🌳 Trees / Binary Trees</t>
        </is>
      </c>
      <c r="D102" s="2" t="inlineStr">
        <is>
          <t>Structural / property</t>
        </is>
      </c>
      <c r="E102" s="2" t="n">
        <v>6</v>
      </c>
      <c r="F102" s="3" t="inlineStr">
        <is>
          <t>Must-do</t>
        </is>
      </c>
      <c r="G102" s="2" t="inlineStr">
        <is>
          <t>Maximum Depth of Binary Tree</t>
        </is>
      </c>
      <c r="H102" s="4" t="inlineStr">
        <is>
          <t>`1 + max(left, right)`.</t>
        </is>
      </c>
      <c r="I102" s="2" t="inlineStr">
        <is>
          <t>Solved</t>
        </is>
      </c>
      <c r="J102" s="2" t="n"/>
      <c r="K102" s="5" t="n">
        <v>46186</v>
      </c>
      <c r="L102" s="4" t="n"/>
      <c r="M102" s="6">
        <f>HYPERLINK("https://leetcode.com/problems/maximum-depth-of-binary-tree/","Solve on LeetCode ↗")</f>
        <v/>
      </c>
      <c r="N102" s="6">
        <f>HYPERLINK("https://github.com/Prateek-5/question-bank/blob/main/DSA/Topics/Trees_Binary_Trees/learn/Maximum_Depth_of_Binary_Tree.md","View Walkthrough ↗")</f>
        <v/>
      </c>
    </row>
    <row r="103">
      <c r="A103" s="2" t="n">
        <v>102</v>
      </c>
      <c r="B103" s="2" t="inlineStr">
        <is>
          <t>Phase 3 · Trees &amp; Graphs</t>
        </is>
      </c>
      <c r="C103" s="2" t="inlineStr">
        <is>
          <t>🌳 Trees / Binary Trees</t>
        </is>
      </c>
      <c r="D103" s="2" t="inlineStr">
        <is>
          <t>Structural / property</t>
        </is>
      </c>
      <c r="E103" s="2" t="n">
        <v>7</v>
      </c>
      <c r="F103" s="3" t="inlineStr">
        <is>
          <t>Must-do</t>
        </is>
      </c>
      <c r="G103" s="2" t="inlineStr">
        <is>
          <t>Balanced Binary Tree</t>
        </is>
      </c>
      <c r="H103" s="4" t="inlineStr">
        <is>
          <t>Post-order returns height OR `-1` if unbalanced. The "encode invalid as -1" trick.</t>
        </is>
      </c>
      <c r="I103" s="2" t="inlineStr">
        <is>
          <t>Solved</t>
        </is>
      </c>
      <c r="J103" s="2" t="n"/>
      <c r="K103" s="5" t="n">
        <v>46141</v>
      </c>
      <c r="L103" s="4" t="n"/>
      <c r="M103" s="6">
        <f>HYPERLINK("https://leetcode.com/problems/balanced-binary-tree/","Solve on LeetCode ↗")</f>
        <v/>
      </c>
      <c r="N103" s="6">
        <f>HYPERLINK("https://github.com/Prateek-5/question-bank/blob/main/DSA/Topics/Trees_Binary_Trees/learn/Balanced_Binary_Tree.md","View Walkthrough ↗")</f>
        <v/>
      </c>
    </row>
    <row r="104">
      <c r="A104" s="2" t="n">
        <v>103</v>
      </c>
      <c r="B104" s="2" t="inlineStr">
        <is>
          <t>Phase 3 · Trees &amp; Graphs</t>
        </is>
      </c>
      <c r="C104" s="2" t="inlineStr">
        <is>
          <t>🌳 Trees / Binary Trees</t>
        </is>
      </c>
      <c r="D104" s="2" t="inlineStr">
        <is>
          <t>Single-node ops</t>
        </is>
      </c>
      <c r="E104" s="2" t="n">
        <v>8</v>
      </c>
      <c r="F104" s="2" t="inlineStr"/>
      <c r="G104" s="2" t="inlineStr">
        <is>
          <t>Invert Binary Tree</t>
        </is>
      </c>
      <c r="H104" s="4" t="inlineStr">
        <is>
          <t>Swap left/right, recurse. The Homebrew problem.</t>
        </is>
      </c>
      <c r="I104" s="2" t="inlineStr">
        <is>
          <t>Solved</t>
        </is>
      </c>
      <c r="J104" s="2" t="inlineStr">
        <is>
          <t>Yes</t>
        </is>
      </c>
      <c r="K104" s="5" t="n">
        <v>46186</v>
      </c>
      <c r="L104" s="4" t="n"/>
      <c r="M104" s="6">
        <f>HYPERLINK("https://leetcode.com/problems/invert-binary-tree/","Solve on LeetCode ↗")</f>
        <v/>
      </c>
      <c r="N104" s="6">
        <f>HYPERLINK("https://github.com/Prateek-5/question-bank/blob/main/DSA/Topics/Trees_Binary_Trees/learn/Invert_Binary_Tree.md","View Walkthrough ↗")</f>
        <v/>
      </c>
    </row>
    <row r="105">
      <c r="A105" s="2" t="n">
        <v>104</v>
      </c>
      <c r="B105" s="2" t="inlineStr">
        <is>
          <t>Phase 3 · Trees &amp; Graphs</t>
        </is>
      </c>
      <c r="C105" s="2" t="inlineStr">
        <is>
          <t>🌳 Trees / Binary Trees</t>
        </is>
      </c>
      <c r="D105" s="2" t="inlineStr">
        <is>
          <t>Path-sum family</t>
        </is>
      </c>
      <c r="E105" s="2" t="n">
        <v>9</v>
      </c>
      <c r="F105" s="3" t="inlineStr">
        <is>
          <t>Must-do</t>
        </is>
      </c>
      <c r="G105" s="2" t="inlineStr">
        <is>
          <t>Path Sum</t>
        </is>
      </c>
      <c r="H105" s="4" t="inlineStr">
        <is>
          <t>Exists root-to-leaf with target sum?</t>
        </is>
      </c>
      <c r="I105" s="2" t="inlineStr">
        <is>
          <t>Solved</t>
        </is>
      </c>
      <c r="J105" s="2" t="n"/>
      <c r="K105" s="5" t="n">
        <v>46128</v>
      </c>
      <c r="L105" s="4" t="n"/>
      <c r="M105" s="6">
        <f>HYPERLINK("https://leetcode.com/problems/path-sum/","Solve on LeetCode ↗")</f>
        <v/>
      </c>
      <c r="N105" s="6">
        <f>HYPERLINK("https://github.com/Prateek-5/question-bank/blob/main/DSA/Topics/Trees_Binary_Trees/learn/Path_Sum.md","View Walkthrough ↗")</f>
        <v/>
      </c>
    </row>
    <row r="106">
      <c r="A106" s="2" t="n">
        <v>105</v>
      </c>
      <c r="B106" s="2" t="inlineStr">
        <is>
          <t>Phase 3 · Trees &amp; Graphs</t>
        </is>
      </c>
      <c r="C106" s="2" t="inlineStr">
        <is>
          <t>🌳 Trees / Binary Trees</t>
        </is>
      </c>
      <c r="D106" s="2" t="inlineStr">
        <is>
          <t>Path-sum family</t>
        </is>
      </c>
      <c r="E106" s="2" t="n">
        <v>10</v>
      </c>
      <c r="F106" s="2" t="inlineStr"/>
      <c r="G106" s="2" t="inlineStr">
        <is>
          <t>Path Sum II</t>
        </is>
      </c>
      <c r="H106" s="4" t="inlineStr">
        <is>
          <t>Collect all such paths. Backtracking on tree.</t>
        </is>
      </c>
      <c r="I106" s="2" t="inlineStr">
        <is>
          <t>Solved</t>
        </is>
      </c>
      <c r="J106" s="2" t="n"/>
      <c r="K106" s="5" t="n">
        <v>46128</v>
      </c>
      <c r="L106" s="4" t="n"/>
      <c r="M106" s="6">
        <f>HYPERLINK("https://leetcode.com/problems/path-sum-ii/","Solve on LeetCode ↗")</f>
        <v/>
      </c>
      <c r="N106" s="6">
        <f>HYPERLINK("https://github.com/Prateek-5/question-bank/blob/main/DSA/Topics/Trees_Binary_Trees/learn/Path_Sum_II.md","View Walkthrough ↗")</f>
        <v/>
      </c>
    </row>
    <row r="107">
      <c r="A107" s="2" t="n">
        <v>106</v>
      </c>
      <c r="B107" s="2" t="inlineStr">
        <is>
          <t>Phase 3 · Trees &amp; Graphs</t>
        </is>
      </c>
      <c r="C107" s="2" t="inlineStr">
        <is>
          <t>🌳 Trees / Binary Trees</t>
        </is>
      </c>
      <c r="D107" s="2" t="inlineStr">
        <is>
          <t>Path-sum family</t>
        </is>
      </c>
      <c r="E107" s="2" t="n">
        <v>11</v>
      </c>
      <c r="F107" s="3" t="inlineStr">
        <is>
          <t>Must-do</t>
        </is>
      </c>
      <c r="G107" s="2" t="inlineStr">
        <is>
          <t>Path Sum III</t>
        </is>
      </c>
      <c r="H107" s="4" t="inlineStr">
        <is>
          <t>Any path (not necessarily root-leaf). Prefix-sum + hash.</t>
        </is>
      </c>
      <c r="I107" s="2" t="inlineStr">
        <is>
          <t>Skipped</t>
        </is>
      </c>
      <c r="J107" s="2" t="n"/>
      <c r="K107" s="2" t="n"/>
      <c r="L107" s="4" t="n"/>
      <c r="M107" s="6">
        <f>HYPERLINK("https://leetcode.com/problems/path-sum-iii/","Solve on LeetCode ↗")</f>
        <v/>
      </c>
      <c r="N107" s="6">
        <f>HYPERLINK("https://github.com/Prateek-5/question-bank/blob/main/DSA/Topics/Trees_Binary_Trees/learn/Path_Sum_III.md","View Walkthrough ↗")</f>
        <v/>
      </c>
    </row>
    <row r="108">
      <c r="A108" s="2" t="n">
        <v>107</v>
      </c>
      <c r="B108" s="2" t="inlineStr">
        <is>
          <t>Phase 3 · Trees &amp; Graphs</t>
        </is>
      </c>
      <c r="C108" s="2" t="inlineStr">
        <is>
          <t>🌳 Trees / Binary Trees</t>
        </is>
      </c>
      <c r="D108" s="2" t="inlineStr">
        <is>
          <t>Path-sum family</t>
        </is>
      </c>
      <c r="E108" s="2" t="n">
        <v>12</v>
      </c>
      <c r="F108" s="2" t="inlineStr"/>
      <c r="G108" s="2" t="inlineStr">
        <is>
          <t>Paths from root with a specified sum</t>
        </is>
      </c>
      <c r="H108" s="4" t="inlineStr">
        <is>
          <t>Companion variant.</t>
        </is>
      </c>
      <c r="I108" s="2" t="inlineStr">
        <is>
          <t>Solved</t>
        </is>
      </c>
      <c r="J108" s="2" t="inlineStr">
        <is>
          <t>Yes</t>
        </is>
      </c>
      <c r="K108" s="5" t="n">
        <v>46128</v>
      </c>
      <c r="L108" s="4" t="n"/>
      <c r="M108" s="6">
        <f>HYPERLINK("https://www.geeksforgeeks.org/problems/paths-from-root-with-a-specified-sum/1","Solve on LeetCode ↗")</f>
        <v/>
      </c>
      <c r="N108" s="6">
        <f>HYPERLINK("https://github.com/Prateek-5/question-bank/blob/main/DSA/Topics/Trees_Binary_Trees/learn/Paths_from_root_with_a_specified_sum.md","View Walkthrough ↗")</f>
        <v/>
      </c>
    </row>
    <row r="109">
      <c r="A109" s="2" t="n">
        <v>108</v>
      </c>
      <c r="B109" s="2" t="inlineStr">
        <is>
          <t>Phase 3 · Trees &amp; Graphs</t>
        </is>
      </c>
      <c r="C109" s="2" t="inlineStr">
        <is>
          <t>🌳 Trees / Binary Trees</t>
        </is>
      </c>
      <c r="D109" s="2" t="inlineStr">
        <is>
          <t>Path-sum family</t>
        </is>
      </c>
      <c r="E109" s="2" t="n">
        <v>13</v>
      </c>
      <c r="F109" s="2" t="inlineStr"/>
      <c r="G109" s="2" t="inlineStr">
        <is>
          <t>Sum Root to Leaf Numbers</t>
        </is>
      </c>
      <c r="H109" s="4" t="inlineStr">
        <is>
          <t>Accumulate `10 * acc + node.val`.</t>
        </is>
      </c>
      <c r="I109" s="2" t="inlineStr">
        <is>
          <t>Solved</t>
        </is>
      </c>
      <c r="J109" s="2" t="n"/>
      <c r="K109" s="5" t="n">
        <v>46128</v>
      </c>
      <c r="L109" s="4" t="n"/>
      <c r="M109" s="6">
        <f>HYPERLINK("https://leetcode.com/problems/sum-root-to-leaf-numbers/","Solve on LeetCode ↗")</f>
        <v/>
      </c>
      <c r="N109" s="6">
        <f>HYPERLINK("https://github.com/Prateek-5/question-bank/blob/main/DSA/Topics/Trees_Binary_Trees/learn/Sum_Root_to_Leaf_Numbers.md","View Walkthrough ↗")</f>
        <v/>
      </c>
    </row>
    <row r="110">
      <c r="A110" s="2" t="n">
        <v>109</v>
      </c>
      <c r="B110" s="2" t="inlineStr">
        <is>
          <t>Phase 3 · Trees &amp; Graphs</t>
        </is>
      </c>
      <c r="C110" s="2" t="inlineStr">
        <is>
          <t>🌳 Trees / Binary Trees</t>
        </is>
      </c>
      <c r="D110" s="2" t="inlineStr">
        <is>
          <t>LCA + Construction</t>
        </is>
      </c>
      <c r="E110" s="2" t="n">
        <v>14</v>
      </c>
      <c r="F110" s="3" t="inlineStr">
        <is>
          <t>Must-do</t>
        </is>
      </c>
      <c r="G110" s="2" t="inlineStr">
        <is>
          <t>Lowest Common Ancestor of Binary Tree</t>
        </is>
      </c>
      <c r="H110" s="4" t="inlineStr">
        <is>
          <t>Recursive: if both children find something, current is LCA.</t>
        </is>
      </c>
      <c r="I110" s="2" t="inlineStr">
        <is>
          <t>Skipped</t>
        </is>
      </c>
      <c r="J110" s="2" t="n"/>
      <c r="K110" s="2" t="n"/>
      <c r="L110" s="4" t="n"/>
      <c r="M110" s="6">
        <f>HYPERLINK("https://leetcode.com/problems/lowest-common-ancestor-of-a-binary-tree/","Solve on LeetCode ↗")</f>
        <v/>
      </c>
      <c r="N110" s="6">
        <f>HYPERLINK("https://github.com/Prateek-5/question-bank/blob/main/DSA/Topics/Trees_Binary_Trees/learn/Lowest_Common_Ancestor_of_Binary_Tree.md","View Walkthrough ↗")</f>
        <v/>
      </c>
    </row>
    <row r="111">
      <c r="A111" s="2" t="n">
        <v>110</v>
      </c>
      <c r="B111" s="2" t="inlineStr">
        <is>
          <t>Phase 3 · Trees &amp; Graphs</t>
        </is>
      </c>
      <c r="C111" s="2" t="inlineStr">
        <is>
          <t>🌳 Trees / Binary Trees</t>
        </is>
      </c>
      <c r="D111" s="2" t="inlineStr">
        <is>
          <t>LCA + Construction</t>
        </is>
      </c>
      <c r="E111" s="2" t="n">
        <v>15</v>
      </c>
      <c r="F111" s="2" t="inlineStr"/>
      <c r="G111" s="2" t="inlineStr">
        <is>
          <t>Construct Binary Tree from Inorder and Postorder</t>
        </is>
      </c>
      <c r="H111" s="4" t="inlineStr">
        <is>
          <t>Last of postorder is root; split inorder by it; recurse.</t>
        </is>
      </c>
      <c r="I111" s="2" t="inlineStr">
        <is>
          <t>Skipped</t>
        </is>
      </c>
      <c r="J111" s="2" t="n"/>
      <c r="K111" s="2" t="n"/>
      <c r="L111" s="4" t="n"/>
      <c r="M111" s="6">
        <f>HYPERLINK("https://leetcode.com/problems/construct-binary-tree-from-inorder-and-postorder-traversal/","Solve on LeetCode ↗")</f>
        <v/>
      </c>
      <c r="N111" s="6">
        <f>HYPERLINK("https://github.com/Prateek-5/question-bank/blob/main/DSA/Topics/Trees_Binary_Trees/learn/Construct_Binary_Tree_from_Inorder_and_Postorder.md","View Walkthrough ↗")</f>
        <v/>
      </c>
    </row>
    <row r="112">
      <c r="A112" s="2" t="n">
        <v>111</v>
      </c>
      <c r="B112" s="2" t="inlineStr">
        <is>
          <t>Phase 3 · Trees &amp; Graphs</t>
        </is>
      </c>
      <c r="C112" s="2" t="inlineStr">
        <is>
          <t>🌲 Binary Search Tree (BST)</t>
        </is>
      </c>
      <c r="D112" s="2" t="inlineStr">
        <is>
          <t>BST property exploitation</t>
        </is>
      </c>
      <c r="E112" s="2" t="n">
        <v>1</v>
      </c>
      <c r="F112" s="3" t="inlineStr">
        <is>
          <t>Must-do</t>
        </is>
      </c>
      <c r="G112" s="2" t="inlineStr">
        <is>
          <t>Range Sum of BST</t>
        </is>
      </c>
      <c r="H112" s="4" t="inlineStr">
        <is>
          <t>Prune subtrees outside the range.</t>
        </is>
      </c>
      <c r="I112" s="2" t="inlineStr">
        <is>
          <t>Solved</t>
        </is>
      </c>
      <c r="J112" s="2" t="n"/>
      <c r="K112" s="5" t="n">
        <v>46185</v>
      </c>
      <c r="L112" s="4" t="n"/>
      <c r="M112" s="6">
        <f>HYPERLINK("https://leetcode.com/problems/range-sum-of-bst/","Solve on LeetCode ↗")</f>
        <v/>
      </c>
      <c r="N112" s="6">
        <f>HYPERLINK("https://github.com/Prateek-5/question-bank/blob/main/DSA/Topics/Binary_Search_Tree_BST/learn/Range_Sum_of_BST.md","View Walkthrough ↗")</f>
        <v/>
      </c>
    </row>
    <row r="113">
      <c r="A113" s="2" t="n">
        <v>112</v>
      </c>
      <c r="B113" s="2" t="inlineStr">
        <is>
          <t>Phase 3 · Trees &amp; Graphs</t>
        </is>
      </c>
      <c r="C113" s="2" t="inlineStr">
        <is>
          <t>🌲 Binary Search Tree (BST)</t>
        </is>
      </c>
      <c r="D113" s="2" t="inlineStr">
        <is>
          <t>BST property exploitation</t>
        </is>
      </c>
      <c r="E113" s="2" t="n">
        <v>2</v>
      </c>
      <c r="F113" s="3" t="inlineStr">
        <is>
          <t>Must-do</t>
        </is>
      </c>
      <c r="G113" s="2" t="inlineStr">
        <is>
          <t>Lowest Common Ancestor of BST</t>
        </is>
      </c>
      <c r="H113" s="4" t="inlineStr">
        <is>
          <t>Walk; turn left if both targets &lt; node, right if both &gt;, else current is LCA.</t>
        </is>
      </c>
      <c r="I113" s="2" t="inlineStr">
        <is>
          <t>Skipped</t>
        </is>
      </c>
      <c r="J113" s="2" t="n"/>
      <c r="K113" s="2" t="n"/>
      <c r="L113" s="4" t="n"/>
      <c r="M113" s="6">
        <f>HYPERLINK("https://leetcode.com/problems/lowest-common-ancestor-of-a-binary-search-tree/","Solve on LeetCode ↗")</f>
        <v/>
      </c>
      <c r="N113" s="6">
        <f>HYPERLINK("https://github.com/Prateek-5/question-bank/blob/main/DSA/Topics/Binary_Search_Tree_BST/learn/Lowest_Common_Ancestor_of_BST.md","View Walkthrough ↗")</f>
        <v/>
      </c>
    </row>
    <row r="114">
      <c r="A114" s="2" t="n">
        <v>113</v>
      </c>
      <c r="B114" s="2" t="inlineStr">
        <is>
          <t>Phase 3 · Trees &amp; Graphs</t>
        </is>
      </c>
      <c r="C114" s="2" t="inlineStr">
        <is>
          <t>🌲 Binary Search Tree (BST)</t>
        </is>
      </c>
      <c r="D114" s="2" t="inlineStr">
        <is>
          <t>Inorder = sorted</t>
        </is>
      </c>
      <c r="E114" s="2" t="n">
        <v>3</v>
      </c>
      <c r="F114" s="3" t="inlineStr">
        <is>
          <t>Must-do</t>
        </is>
      </c>
      <c r="G114" s="2" t="inlineStr">
        <is>
          <t>Kth Smallest Element in BST</t>
        </is>
      </c>
      <c r="H114" s="4" t="inlineStr">
        <is>
          <t>Iterative inorder; count to k.</t>
        </is>
      </c>
      <c r="I114" s="2" t="inlineStr">
        <is>
          <t>Solved</t>
        </is>
      </c>
      <c r="J114" s="2" t="n"/>
      <c r="K114" s="5" t="n">
        <v>46185</v>
      </c>
      <c r="L114" s="4" t="n"/>
      <c r="M114" s="6">
        <f>HYPERLINK("https://leetcode.com/problems/kth-smallest-element-in-a-bst/","Solve on LeetCode ↗")</f>
        <v/>
      </c>
      <c r="N114" s="6">
        <f>HYPERLINK("https://github.com/Prateek-5/question-bank/blob/main/DSA/Topics/Binary_Search_Tree_BST/learn/Kth_Smallest_Element_in_BST.md","View Walkthrough ↗")</f>
        <v/>
      </c>
    </row>
    <row r="115">
      <c r="A115" s="2" t="n">
        <v>114</v>
      </c>
      <c r="B115" s="2" t="inlineStr">
        <is>
          <t>Phase 3 · Trees &amp; Graphs</t>
        </is>
      </c>
      <c r="C115" s="2" t="inlineStr">
        <is>
          <t>🌲 Binary Search Tree (BST)</t>
        </is>
      </c>
      <c r="D115" s="2" t="inlineStr">
        <is>
          <t>Inorder = sorted</t>
        </is>
      </c>
      <c r="E115" s="2" t="n">
        <v>4</v>
      </c>
      <c r="F115" s="3" t="inlineStr">
        <is>
          <t>Must-do</t>
        </is>
      </c>
      <c r="G115" s="2" t="inlineStr">
        <is>
          <t>Binary Search Tree Iterator</t>
        </is>
      </c>
      <c r="H115" s="4" t="inlineStr">
        <is>
          <t>Inorder iterator state via a stack of left-spine.</t>
        </is>
      </c>
      <c r="I115" s="2" t="inlineStr">
        <is>
          <t>Not Started</t>
        </is>
      </c>
      <c r="J115" s="2" t="n"/>
      <c r="K115" s="2" t="n"/>
      <c r="L115" s="4" t="n"/>
      <c r="M115" s="6">
        <f>HYPERLINK("https://leetcode.com/problems/binary-search-tree-iterator/","Solve on LeetCode ↗")</f>
        <v/>
      </c>
      <c r="N115" s="6">
        <f>HYPERLINK("https://github.com/Prateek-5/question-bank/blob/main/DSA/Topics/Binary_Search_Tree_BST/learn/Binary_Search_Tree_Iterator.md","View Walkthrough ↗")</f>
        <v/>
      </c>
    </row>
    <row r="116">
      <c r="A116" s="2" t="n">
        <v>115</v>
      </c>
      <c r="B116" s="2" t="inlineStr">
        <is>
          <t>Phase 3 · Trees &amp; Graphs</t>
        </is>
      </c>
      <c r="C116" s="2" t="inlineStr">
        <is>
          <t>🌲 Binary Search Tree (BST)</t>
        </is>
      </c>
      <c r="D116" s="2" t="inlineStr">
        <is>
          <t>Construction</t>
        </is>
      </c>
      <c r="E116" s="2" t="n">
        <v>5</v>
      </c>
      <c r="F116" s="3" t="inlineStr">
        <is>
          <t>Must-do</t>
        </is>
      </c>
      <c r="G116" s="2" t="inlineStr">
        <is>
          <t>Convert Sorted Array to BST</t>
        </is>
      </c>
      <c r="H116" s="4" t="inlineStr">
        <is>
          <t>Pick middle as root; recurse halves. Produces balanced BST.</t>
        </is>
      </c>
      <c r="I116" s="2" t="inlineStr">
        <is>
          <t>Not Started</t>
        </is>
      </c>
      <c r="J116" s="2" t="n"/>
      <c r="K116" s="2" t="n"/>
      <c r="L116" s="4" t="n"/>
      <c r="M116" s="6">
        <f>HYPERLINK("https://leetcode.com/problems/convert-sorted-array-to-binary-search-tree/","Solve on LeetCode ↗")</f>
        <v/>
      </c>
      <c r="N116" s="6">
        <f>HYPERLINK("https://github.com/Prateek-5/question-bank/blob/main/DSA/Topics/Binary_Search_Tree_BST/learn/Convert_Sorted_Array_to_BST.md","View Walkthrough ↗")</f>
        <v/>
      </c>
    </row>
    <row r="117">
      <c r="A117" s="2" t="n">
        <v>116</v>
      </c>
      <c r="B117" s="2" t="inlineStr">
        <is>
          <t>Phase 3 · Trees &amp; Graphs</t>
        </is>
      </c>
      <c r="C117" s="2" t="inlineStr">
        <is>
          <t>🌲 Binary Search Tree (BST)</t>
        </is>
      </c>
      <c r="D117" s="2" t="inlineStr">
        <is>
          <t>Construction</t>
        </is>
      </c>
      <c r="E117" s="2" t="n">
        <v>6</v>
      </c>
      <c r="F117" s="2" t="inlineStr"/>
      <c r="G117" s="2" t="inlineStr">
        <is>
          <t>Construct Binary Tree from Traversals</t>
        </is>
      </c>
      <c r="H117" s="4" t="inlineStr">
        <is>
          <t>Variant — companion to the one in Trees folder.</t>
        </is>
      </c>
      <c r="I117" s="2" t="inlineStr">
        <is>
          <t>Not Started</t>
        </is>
      </c>
      <c r="J117" s="2" t="n"/>
      <c r="K117" s="2" t="n"/>
      <c r="L117" s="4" t="inlineStr">
        <is>
          <t>Repeated question</t>
        </is>
      </c>
      <c r="M117" s="6">
        <f>HYPERLINK("https://leetcode.com/problems/construct-binary-tree-from-preorder-and-inorder-traversal/","Solve on LeetCode ↗")</f>
        <v/>
      </c>
      <c r="N117" s="6">
        <f>HYPERLINK("https://github.com/Prateek-5/question-bank/blob/main/DSA/Topics/Binary_Search_Tree_BST/learn/Construct_Binary_Tree_from_Traversals.md","View Walkthrough ↗")</f>
        <v/>
      </c>
    </row>
    <row r="118">
      <c r="A118" s="2" t="n">
        <v>117</v>
      </c>
      <c r="B118" s="2" t="inlineStr">
        <is>
          <t>Phase 3 · Trees &amp; Graphs</t>
        </is>
      </c>
      <c r="C118" s="2" t="inlineStr">
        <is>
          <t>🌲 Binary Search Tree (BST)</t>
        </is>
      </c>
      <c r="D118" s="2" t="inlineStr">
        <is>
          <t>Side views (BFS / level)</t>
        </is>
      </c>
      <c r="E118" s="2" t="n">
        <v>7</v>
      </c>
      <c r="F118" s="3" t="inlineStr">
        <is>
          <t>Must-do</t>
        </is>
      </c>
      <c r="G118" s="2" t="inlineStr">
        <is>
          <t>Binary Tree Right Side View</t>
        </is>
      </c>
      <c r="H118" s="4" t="inlineStr">
        <is>
          <t>BFS; last node of each level.</t>
        </is>
      </c>
      <c r="I118" s="2" t="inlineStr">
        <is>
          <t>Not Started</t>
        </is>
      </c>
      <c r="J118" s="2" t="n"/>
      <c r="K118" s="2" t="n"/>
      <c r="L118" s="4" t="n"/>
      <c r="M118" s="6">
        <f>HYPERLINK("https://leetcode.com/problems/binary-tree-right-side-view/","Solve on LeetCode ↗")</f>
        <v/>
      </c>
      <c r="N118" s="6">
        <f>HYPERLINK("https://github.com/Prateek-5/question-bank/blob/main/DSA/Topics/Binary_Search_Tree_BST/learn/Binary_Tree_Right_Side_View.md","View Walkthrough ↗")</f>
        <v/>
      </c>
    </row>
    <row r="119">
      <c r="A119" s="2" t="n">
        <v>118</v>
      </c>
      <c r="B119" s="2" t="inlineStr">
        <is>
          <t>Phase 3 · Trees &amp; Graphs</t>
        </is>
      </c>
      <c r="C119" s="2" t="inlineStr">
        <is>
          <t>🌲 Binary Search Tree (BST)</t>
        </is>
      </c>
      <c r="D119" s="2" t="inlineStr">
        <is>
          <t>Side views (BFS / level)</t>
        </is>
      </c>
      <c r="E119" s="2" t="n">
        <v>8</v>
      </c>
      <c r="F119" s="2" t="inlineStr"/>
      <c r="G119" s="2" t="inlineStr">
        <is>
          <t>Binary Tree Left Side View</t>
        </is>
      </c>
      <c r="H119" s="4" t="inlineStr">
        <is>
          <t>BFS; first node of each level.</t>
        </is>
      </c>
      <c r="I119" s="2" t="inlineStr">
        <is>
          <t>Not Started</t>
        </is>
      </c>
      <c r="J119" s="2" t="n"/>
      <c r="K119" s="2" t="n"/>
      <c r="L119" s="4" t="inlineStr">
        <is>
          <t>Question is removed from LeetCode</t>
        </is>
      </c>
      <c r="M119" s="6">
        <f>HYPERLINK("https://leetcode.com/problems/binary-tree-left-side-view/","Solve on LeetCode ↗")</f>
        <v/>
      </c>
      <c r="N119" s="6">
        <f>HYPERLINK("https://github.com/Prateek-5/question-bank/blob/main/DSA/Topics/Binary_Search_Tree_BST/learn/Binary_Tree_Left_Side_View.md","View Walkthrough ↗")</f>
        <v/>
      </c>
    </row>
    <row r="120">
      <c r="A120" s="2" t="n">
        <v>119</v>
      </c>
      <c r="B120" s="2" t="inlineStr">
        <is>
          <t>Phase 3 · Trees &amp; Graphs</t>
        </is>
      </c>
      <c r="C120" s="2" t="inlineStr">
        <is>
          <t>🌲 Binary Search Tree (BST)</t>
        </is>
      </c>
      <c r="D120" s="2" t="inlineStr">
        <is>
          <t>Two-BST merge</t>
        </is>
      </c>
      <c r="E120" s="2" t="n">
        <v>9</v>
      </c>
      <c r="F120" s="2" t="inlineStr"/>
      <c r="G120" s="2" t="inlineStr">
        <is>
          <t>All Elements in Two BSTs</t>
        </is>
      </c>
      <c r="H120" s="4" t="inlineStr">
        <is>
          <t>Inorder both → merge two sorted lists.</t>
        </is>
      </c>
      <c r="I120" s="2" t="inlineStr">
        <is>
          <t>Solved</t>
        </is>
      </c>
      <c r="J120" s="2" t="n"/>
      <c r="K120" s="5" t="n">
        <v>46186</v>
      </c>
      <c r="L120" s="4" t="n"/>
      <c r="M120" s="6">
        <f>HYPERLINK("https://leetcode.com/problems/all-elements-in-two-binary-search-trees/","Solve on LeetCode ↗")</f>
        <v/>
      </c>
      <c r="N120" s="6">
        <f>HYPERLINK("https://github.com/Prateek-5/question-bank/blob/main/DSA/Topics/Binary_Search_Tree_BST/learn/All_Elements_in_Two_BSTs.md","View Walkthrough ↗")</f>
        <v/>
      </c>
    </row>
    <row r="121">
      <c r="A121" s="2" t="n">
        <v>120</v>
      </c>
      <c r="B121" s="2" t="inlineStr">
        <is>
          <t>Phase 3 · Trees &amp; Graphs</t>
        </is>
      </c>
      <c r="C121" s="2" t="inlineStr">
        <is>
          <t>🌲 Binary Search Tree (BST)</t>
        </is>
      </c>
      <c r="D121" s="2" t="inlineStr">
        <is>
          <t>Two-BST merge</t>
        </is>
      </c>
      <c r="E121" s="2" t="n">
        <v>10</v>
      </c>
      <c r="F121" s="2" t="inlineStr"/>
      <c r="G121" s="2" t="inlineStr">
        <is>
          <t>Merge Two BSTs</t>
        </is>
      </c>
      <c r="H121" s="4" t="inlineStr">
        <is>
          <t>Flatten both, merge, rebuild balanced BST from sorted array.</t>
        </is>
      </c>
      <c r="I121" s="2" t="inlineStr">
        <is>
          <t>Not Started</t>
        </is>
      </c>
      <c r="J121" s="2" t="n"/>
      <c r="K121" s="2" t="n"/>
      <c r="L121" s="4" t="n"/>
      <c r="M121" s="6">
        <f>HYPERLINK("https://leetcode.com/problems/all-elements-in-two-binary-search-trees/","Solve on LeetCode ↗")</f>
        <v/>
      </c>
      <c r="N121" s="6">
        <f>HYPERLINK("https://github.com/Prateek-5/question-bank/blob/main/DSA/Topics/Binary_Search_Tree_BST/learn/Merge_Two_BSTs.md","View Walkthrough ↗")</f>
        <v/>
      </c>
    </row>
    <row r="122">
      <c r="A122" s="2" t="n">
        <v>121</v>
      </c>
      <c r="B122" s="2" t="inlineStr">
        <is>
          <t>Phase 3 · Trees &amp; Graphs</t>
        </is>
      </c>
      <c r="C122" s="2" t="inlineStr">
        <is>
          <t>🌲 Binary Search Tree (BST)</t>
        </is>
      </c>
      <c r="D122" s="2" t="inlineStr">
        <is>
          <t>Misfit (greedy, slotted here historically)</t>
        </is>
      </c>
      <c r="E122" s="2" t="n">
        <v>11</v>
      </c>
      <c r="F122" s="2" t="inlineStr"/>
      <c r="G122" s="2" t="inlineStr">
        <is>
          <t>Queue Reconstruction by Height</t>
        </is>
      </c>
      <c r="H122" s="4" t="inlineStr">
        <is>
          <t>Sort by `(-height, k)` then insert at index k. Greedy.</t>
        </is>
      </c>
      <c r="I122" s="2" t="inlineStr">
        <is>
          <t>Solved</t>
        </is>
      </c>
      <c r="J122" s="2" t="n"/>
      <c r="K122" s="5" t="n">
        <v>46185</v>
      </c>
      <c r="L122" s="4" t="n"/>
      <c r="M122" s="6">
        <f>HYPERLINK("https://leetcode.com/problems/queue-reconstruction-by-height/description/","Solve on LeetCode ↗")</f>
        <v/>
      </c>
      <c r="N122" s="6">
        <f>HYPERLINK("https://github.com/Prateek-5/question-bank/blob/main/DSA/Topics/Binary_Search_Tree_BST/learn/Queue_Reconstruction_by_Height.md","View Walkthrough ↗")</f>
        <v/>
      </c>
    </row>
    <row r="123">
      <c r="A123" s="2" t="n">
        <v>122</v>
      </c>
      <c r="B123" s="2" t="inlineStr">
        <is>
          <t>Phase 3 · Trees &amp; Graphs</t>
        </is>
      </c>
      <c r="C123" s="2" t="inlineStr">
        <is>
          <t>🔤 Trie / Bit Manipulation Trie</t>
        </is>
      </c>
      <c r="D123" s="2" t="inlineStr">
        <is>
          <t>Build the trie</t>
        </is>
      </c>
      <c r="E123" s="2" t="n">
        <v>1</v>
      </c>
      <c r="F123" s="3" t="inlineStr">
        <is>
          <t>Must-do</t>
        </is>
      </c>
      <c r="G123" s="2" t="inlineStr">
        <is>
          <t>Implement Trie Prefix Tree</t>
        </is>
      </c>
      <c r="H123" s="4" t="inlineStr">
        <is>
          <t>`insert`, `search`, `startsWith`. Memorize.</t>
        </is>
      </c>
      <c r="I123" s="2" t="inlineStr">
        <is>
          <t>Not Started</t>
        </is>
      </c>
      <c r="J123" s="2" t="n"/>
      <c r="K123" s="2" t="n"/>
      <c r="L123" s="4" t="n"/>
      <c r="M123" s="6">
        <f>HYPERLINK("https://leetcode.com/problems/implement-trie-prefix-tree/","Solve on LeetCode ↗")</f>
        <v/>
      </c>
      <c r="N123" s="6">
        <f>HYPERLINK("https://github.com/Prateek-5/question-bank/blob/main/DSA/Topics/Trie_Bit_Manipulation_Trie/learn/Implement_Trie_Prefix_Tree.md","View Walkthrough ↗")</f>
        <v/>
      </c>
    </row>
    <row r="124">
      <c r="A124" s="2" t="n">
        <v>123</v>
      </c>
      <c r="B124" s="2" t="inlineStr">
        <is>
          <t>Phase 3 · Trees &amp; Graphs</t>
        </is>
      </c>
      <c r="C124" s="2" t="inlineStr">
        <is>
          <t>🔤 Trie / Bit Manipulation Trie</t>
        </is>
      </c>
      <c r="D124" s="2" t="inlineStr">
        <is>
          <t>Wildcards / design</t>
        </is>
      </c>
      <c r="E124" s="2" t="n">
        <v>2</v>
      </c>
      <c r="F124" s="3" t="inlineStr">
        <is>
          <t>Must-do</t>
        </is>
      </c>
      <c r="G124" s="2" t="inlineStr">
        <is>
          <t>Design Add and Search Words DS</t>
        </is>
      </c>
      <c r="H124" s="4" t="inlineStr">
        <is>
          <t>Recursive search with `.` wildcard tries all children.</t>
        </is>
      </c>
      <c r="I124" s="2" t="inlineStr">
        <is>
          <t>Not Started</t>
        </is>
      </c>
      <c r="J124" s="2" t="n"/>
      <c r="K124" s="2" t="n"/>
      <c r="L124" s="4" t="n"/>
      <c r="M124" s="6">
        <f>HYPERLINK("https://leetcode.com/problems/design-add-and-search-words-data-structure/","Solve on LeetCode ↗")</f>
        <v/>
      </c>
      <c r="N124" s="6">
        <f>HYPERLINK("https://github.com/Prateek-5/question-bank/blob/main/DSA/Topics/Trie_Bit_Manipulation_Trie/learn/Design_Add_and_Search_Words_DS.md","View Walkthrough ↗")</f>
        <v/>
      </c>
    </row>
    <row r="125">
      <c r="A125" s="2" t="n">
        <v>124</v>
      </c>
      <c r="B125" s="2" t="inlineStr">
        <is>
          <t>Phase 3 · Trees &amp; Graphs</t>
        </is>
      </c>
      <c r="C125" s="2" t="inlineStr">
        <is>
          <t>🔤 Trie / Bit Manipulation Trie</t>
        </is>
      </c>
      <c r="D125" s="2" t="inlineStr">
        <is>
          <t>Prefix tasks</t>
        </is>
      </c>
      <c r="E125" s="2" t="n">
        <v>3</v>
      </c>
      <c r="F125" s="2" t="inlineStr"/>
      <c r="G125" s="2" t="inlineStr">
        <is>
          <t>Shortest Unique prefix for every word</t>
        </is>
      </c>
      <c r="H125" s="4" t="inlineStr">
        <is>
          <t>Build trie with frequency counts; first single-occurrence node = shortest unique prefix.</t>
        </is>
      </c>
      <c r="I125" s="2" t="inlineStr">
        <is>
          <t>Not Started</t>
        </is>
      </c>
      <c r="J125" s="2" t="n"/>
      <c r="K125" s="2" t="n"/>
      <c r="L125" s="4" t="n"/>
      <c r="M125" s="6">
        <f>HYPERLINK("https://www.geeksforgeeks.org/problems/shortest-unique-prefix-for-every-word/1","Solve on LeetCode ↗")</f>
        <v/>
      </c>
      <c r="N125" s="6">
        <f>HYPERLINK("https://github.com/Prateek-5/question-bank/blob/main/DSA/Topics/Trie_Bit_Manipulation_Trie/learn/Shortest_Unique_prefix_for_every_word.md","View Walkthrough ↗")</f>
        <v/>
      </c>
    </row>
    <row r="126">
      <c r="A126" s="2" t="n">
        <v>125</v>
      </c>
      <c r="B126" s="2" t="inlineStr">
        <is>
          <t>Phase 3 · Trees &amp; Graphs</t>
        </is>
      </c>
      <c r="C126" s="2" t="inlineStr">
        <is>
          <t>🔤 Trie / Bit Manipulation Trie</t>
        </is>
      </c>
      <c r="D126" s="2" t="inlineStr">
        <is>
          <t>Prefix tasks</t>
        </is>
      </c>
      <c r="E126" s="2" t="n">
        <v>4</v>
      </c>
      <c r="F126" s="2" t="inlineStr"/>
      <c r="G126" s="2" t="inlineStr">
        <is>
          <t>Prefix and Suffix Search</t>
        </is>
      </c>
      <c r="H126" s="4" t="inlineStr">
        <is>
          <t>Insert each word's `suffix#word` variants into one trie. Powerful trick.</t>
        </is>
      </c>
      <c r="I126" s="2" t="inlineStr">
        <is>
          <t>Not Started</t>
        </is>
      </c>
      <c r="J126" s="2" t="n"/>
      <c r="K126" s="2" t="n"/>
      <c r="L126" s="4" t="n"/>
      <c r="M126" s="6">
        <f>HYPERLINK("https://leetcode.com/problems/prefix-and-suffix-search/","Solve on LeetCode ↗")</f>
        <v/>
      </c>
      <c r="N126" s="6">
        <f>HYPERLINK("https://github.com/Prateek-5/question-bank/blob/main/DSA/Topics/Trie_Bit_Manipulation_Trie/learn/Prefix_and_Suffix_Search.md","View Walkthrough ↗")</f>
        <v/>
      </c>
    </row>
    <row r="127">
      <c r="A127" s="2" t="n">
        <v>126</v>
      </c>
      <c r="B127" s="2" t="inlineStr">
        <is>
          <t>Phase 3 · Trees &amp; Graphs</t>
        </is>
      </c>
      <c r="C127" s="2" t="inlineStr">
        <is>
          <t>🔤 Trie / Bit Manipulation Trie</t>
        </is>
      </c>
      <c r="D127" s="2" t="inlineStr">
        <is>
          <t>Bit trie — XOR family</t>
        </is>
      </c>
      <c r="E127" s="2" t="n">
        <v>5</v>
      </c>
      <c r="F127" s="3" t="inlineStr">
        <is>
          <t>Must-do</t>
        </is>
      </c>
      <c r="G127" s="2" t="inlineStr">
        <is>
          <t>Maximum XOR of Two Numbers</t>
        </is>
      </c>
      <c r="H127" s="4" t="inlineStr">
        <is>
          <t>Bit trie; greedily pick opposite-bit branch at each level.</t>
        </is>
      </c>
      <c r="I127" s="2" t="inlineStr">
        <is>
          <t>Not Started</t>
        </is>
      </c>
      <c r="J127" s="2" t="n"/>
      <c r="K127" s="2" t="n"/>
      <c r="L127" s="4" t="n"/>
      <c r="M127" s="6">
        <f>HYPERLINK("https://leetcode.com/problems/maximum-xor-of-two-numbers-in-an-array/","Solve on LeetCode ↗")</f>
        <v/>
      </c>
      <c r="N127" s="6">
        <f>HYPERLINK("https://github.com/Prateek-5/question-bank/blob/main/DSA/Topics/Trie_Bit_Manipulation_Trie/learn/Maximum_XOR_of_Two_Numbers.md","View Walkthrough ↗")</f>
        <v/>
      </c>
    </row>
    <row r="128">
      <c r="A128" s="2" t="n">
        <v>127</v>
      </c>
      <c r="B128" s="2" t="inlineStr">
        <is>
          <t>Phase 3 · Trees &amp; Graphs</t>
        </is>
      </c>
      <c r="C128" s="2" t="inlineStr">
        <is>
          <t>🔤 Trie / Bit Manipulation Trie</t>
        </is>
      </c>
      <c r="D128" s="2" t="inlineStr">
        <is>
          <t>Bit trie — XOR family</t>
        </is>
      </c>
      <c r="E128" s="2" t="n">
        <v>6</v>
      </c>
      <c r="F128" s="2" t="inlineStr"/>
      <c r="G128" s="2" t="inlineStr">
        <is>
          <t>Subarrays with XOR Less Than K Concept</t>
        </is>
      </c>
      <c r="H128" s="4" t="inlineStr">
        <is>
          <t>Bit trie + counting; harder generalization.</t>
        </is>
      </c>
      <c r="I128" s="2" t="inlineStr">
        <is>
          <t>Not Started</t>
        </is>
      </c>
      <c r="J128" s="2" t="n"/>
      <c r="K128" s="2" t="n"/>
      <c r="L128" s="4" t="n"/>
      <c r="M128" s="6">
        <f>HYPERLINK("https://leetcode.com/problems/subarray-xor-queries/","Solve on LeetCode ↗")</f>
        <v/>
      </c>
      <c r="N128" s="6">
        <f>HYPERLINK("https://github.com/Prateek-5/question-bank/blob/main/DSA/Topics/Trie_Bit_Manipulation_Trie/learn/Subarrays_with_XOR_Less_Than_K_Concept.md","View Walkthrough ↗")</f>
        <v/>
      </c>
    </row>
    <row r="129">
      <c r="A129" s="2" t="n">
        <v>128</v>
      </c>
      <c r="B129" s="2" t="inlineStr">
        <is>
          <t>Phase 3 · Trees &amp; Graphs</t>
        </is>
      </c>
      <c r="C129" s="2" t="inlineStr">
        <is>
          <t>🔤 Trie / Bit Manipulation Trie</t>
        </is>
      </c>
      <c r="D129" s="2" t="inlineStr">
        <is>
          <t>Hardest</t>
        </is>
      </c>
      <c r="E129" s="2" t="n">
        <v>7</v>
      </c>
      <c r="F129" s="2" t="inlineStr"/>
      <c r="G129" s="2" t="inlineStr">
        <is>
          <t>Count Substrings That Differ by One Character</t>
        </is>
      </c>
      <c r="H129" s="4" t="inlineStr">
        <is>
          <t>Trie + dynamic programming hybrid; advanced.</t>
        </is>
      </c>
      <c r="I129" s="2" t="inlineStr">
        <is>
          <t>Not Started</t>
        </is>
      </c>
      <c r="J129" s="2" t="n"/>
      <c r="K129" s="2" t="n"/>
      <c r="L129" s="4" t="n"/>
      <c r="M129" s="6">
        <f>HYPERLINK("https://leetcode.com/problems/count-substrings-that-differ-by-one-character/","Solve on LeetCode ↗")</f>
        <v/>
      </c>
      <c r="N129" s="6">
        <f>HYPERLINK("https://github.com/Prateek-5/question-bank/blob/main/DSA/Topics/Trie_Bit_Manipulation_Trie/learn/Count_Substrings_That_Differ_by_One_Character.md","View Walkthrough ↗")</f>
        <v/>
      </c>
    </row>
    <row r="130">
      <c r="A130" s="2" t="n">
        <v>129</v>
      </c>
      <c r="B130" s="2" t="inlineStr">
        <is>
          <t>Phase 3 · Trees &amp; Graphs</t>
        </is>
      </c>
      <c r="C130" s="2" t="inlineStr">
        <is>
          <t>⛰️ Heap / Priority Queue</t>
        </is>
      </c>
      <c r="D130" s="2" t="inlineStr">
        <is>
          <t>Heap mechanics</t>
        </is>
      </c>
      <c r="E130" s="2" t="n">
        <v>1</v>
      </c>
      <c r="F130" s="3" t="inlineStr">
        <is>
          <t>Must-do</t>
        </is>
      </c>
      <c r="G130" s="2" t="inlineStr">
        <is>
          <t>Last Stone Weight</t>
        </is>
      </c>
      <c r="H130" s="4" t="inlineStr">
        <is>
          <t>Max heap; simulate.</t>
        </is>
      </c>
      <c r="I130" s="2" t="inlineStr">
        <is>
          <t>Not Started</t>
        </is>
      </c>
      <c r="J130" s="2" t="n"/>
      <c r="K130" s="2" t="n"/>
      <c r="L130" s="4" t="n"/>
      <c r="M130" s="6">
        <f>HYPERLINK("https://leetcode.com/problems/last-stone-weight/","Solve on LeetCode ↗")</f>
        <v/>
      </c>
      <c r="N130" s="6">
        <f>HYPERLINK("https://github.com/Prateek-5/question-bank/blob/main/DSA/Topics/Heap_Priority_Queue/learn/Last_Stone_Weight.md","View Walkthrough ↗")</f>
        <v/>
      </c>
    </row>
    <row r="131">
      <c r="A131" s="2" t="n">
        <v>130</v>
      </c>
      <c r="B131" s="2" t="inlineStr">
        <is>
          <t>Phase 3 · Trees &amp; Graphs</t>
        </is>
      </c>
      <c r="C131" s="2" t="inlineStr">
        <is>
          <t>⛰️ Heap / Priority Queue</t>
        </is>
      </c>
      <c r="D131" s="2" t="inlineStr">
        <is>
          <t>Top-K — size-k min heap</t>
        </is>
      </c>
      <c r="E131" s="2" t="n">
        <v>2</v>
      </c>
      <c r="F131" s="3" t="inlineStr">
        <is>
          <t>Must-do</t>
        </is>
      </c>
      <c r="G131" s="2" t="inlineStr">
        <is>
          <t>Kth Largest Element in a Stream</t>
        </is>
      </c>
      <c r="H131" s="4" t="inlineStr">
        <is>
          <t>Size-k min-heap; root is kth largest.</t>
        </is>
      </c>
      <c r="I131" s="2" t="inlineStr">
        <is>
          <t>Not Started</t>
        </is>
      </c>
      <c r="J131" s="2" t="n"/>
      <c r="K131" s="2" t="n"/>
      <c r="L131" s="4" t="n"/>
      <c r="M131" s="6">
        <f>HYPERLINK("https://leetcode.com/problems/kth-largest-element-in-a-stream/","Solve on LeetCode ↗")</f>
        <v/>
      </c>
      <c r="N131" s="6">
        <f>HYPERLINK("https://github.com/Prateek-5/question-bank/blob/main/DSA/Topics/Heap_Priority_Queue/learn/Kth_Largest_Element_in_a_Stream.md","View Walkthrough ↗")</f>
        <v/>
      </c>
    </row>
    <row r="132">
      <c r="A132" s="2" t="n">
        <v>131</v>
      </c>
      <c r="B132" s="2" t="inlineStr">
        <is>
          <t>Phase 3 · Trees &amp; Graphs</t>
        </is>
      </c>
      <c r="C132" s="2" t="inlineStr">
        <is>
          <t>⛰️ Heap / Priority Queue</t>
        </is>
      </c>
      <c r="D132" s="2" t="inlineStr">
        <is>
          <t>Top-K — size-k min heap</t>
        </is>
      </c>
      <c r="E132" s="2" t="n">
        <v>3</v>
      </c>
      <c r="F132" s="3" t="inlineStr">
        <is>
          <t>Must-do</t>
        </is>
      </c>
      <c r="G132" s="2" t="inlineStr">
        <is>
          <t>Kth Largest Element in an Array</t>
        </is>
      </c>
      <c r="H132" s="4" t="inlineStr">
        <is>
          <t>Either size-k heap O(n log k) or quickselect O(n) avg. Compare.</t>
        </is>
      </c>
      <c r="I132" s="2" t="inlineStr">
        <is>
          <t>Not Started</t>
        </is>
      </c>
      <c r="J132" s="2" t="n"/>
      <c r="K132" s="2" t="n"/>
      <c r="L132" s="4" t="n"/>
      <c r="M132" s="6">
        <f>HYPERLINK("https://leetcode.com/problems/kth-largest-element-in-an-array/","Solve on LeetCode ↗")</f>
        <v/>
      </c>
      <c r="N132" s="6">
        <f>HYPERLINK("https://github.com/Prateek-5/question-bank/blob/main/DSA/Topics/Heap_Priority_Queue/learn/Kth_Largest_Element_in_an_Array.md","View Walkthrough ↗")</f>
        <v/>
      </c>
    </row>
    <row r="133">
      <c r="A133" s="2" t="n">
        <v>132</v>
      </c>
      <c r="B133" s="2" t="inlineStr">
        <is>
          <t>Phase 3 · Trees &amp; Graphs</t>
        </is>
      </c>
      <c r="C133" s="2" t="inlineStr">
        <is>
          <t>⛰️ Heap / Priority Queue</t>
        </is>
      </c>
      <c r="D133" s="2" t="inlineStr">
        <is>
          <t>Top-K — size-k min heap</t>
        </is>
      </c>
      <c r="E133" s="2" t="n">
        <v>4</v>
      </c>
      <c r="F133" s="3" t="inlineStr">
        <is>
          <t>Must-do</t>
        </is>
      </c>
      <c r="G133" s="2" t="inlineStr">
        <is>
          <t>Top K Frequent Elements</t>
        </is>
      </c>
      <c r="H133" s="4" t="inlineStr">
        <is>
          <t>Frequency map + size-k heap (or bucket sort).</t>
        </is>
      </c>
      <c r="I133" s="2" t="inlineStr">
        <is>
          <t>Not Started</t>
        </is>
      </c>
      <c r="J133" s="2" t="n"/>
      <c r="K133" s="2" t="n"/>
      <c r="L133" s="4" t="n"/>
      <c r="M133" s="6">
        <f>HYPERLINK("https://leetcode.com/problems/top-k-frequent-elements/","Solve on LeetCode ↗")</f>
        <v/>
      </c>
      <c r="N133" s="6">
        <f>HYPERLINK("https://github.com/Prateek-5/question-bank/blob/main/DSA/Topics/Heap_Priority_Queue/learn/Top_K_Frequent_Elements.md","View Walkthrough ↗")</f>
        <v/>
      </c>
    </row>
    <row r="134">
      <c r="A134" s="2" t="n">
        <v>133</v>
      </c>
      <c r="B134" s="2" t="inlineStr">
        <is>
          <t>Phase 3 · Trees &amp; Graphs</t>
        </is>
      </c>
      <c r="C134" s="2" t="inlineStr">
        <is>
          <t>⛰️ Heap / Priority Queue</t>
        </is>
      </c>
      <c r="D134" s="2" t="inlineStr">
        <is>
          <t>K-closest</t>
        </is>
      </c>
      <c r="E134" s="2" t="n">
        <v>5</v>
      </c>
      <c r="F134" s="2" t="inlineStr"/>
      <c r="G134" s="2" t="inlineStr">
        <is>
          <t>K Closest Points to Origin</t>
        </is>
      </c>
      <c r="H134" s="4" t="inlineStr">
        <is>
          <t>Max-heap of size k.</t>
        </is>
      </c>
      <c r="I134" s="2" t="inlineStr">
        <is>
          <t>Not Started</t>
        </is>
      </c>
      <c r="J134" s="2" t="n"/>
      <c r="K134" s="2" t="n"/>
      <c r="L134" s="4" t="n"/>
      <c r="M134" s="6">
        <f>HYPERLINK("https://leetcode.com/problems/k-closest-points-to-origin/","Solve on LeetCode ↗")</f>
        <v/>
      </c>
      <c r="N134" s="6">
        <f>HYPERLINK("https://github.com/Prateek-5/question-bank/blob/main/DSA/Topics/Heap_Priority_Queue/learn/K_Closest_Points_to_Origin.md","View Walkthrough ↗")</f>
        <v/>
      </c>
    </row>
    <row r="135">
      <c r="A135" s="2" t="n">
        <v>134</v>
      </c>
      <c r="B135" s="2" t="inlineStr">
        <is>
          <t>Phase 3 · Trees &amp; Graphs</t>
        </is>
      </c>
      <c r="C135" s="2" t="inlineStr">
        <is>
          <t>⛰️ Heap / Priority Queue</t>
        </is>
      </c>
      <c r="D135" s="2" t="inlineStr">
        <is>
          <t>K-closest</t>
        </is>
      </c>
      <c r="E135" s="2" t="n">
        <v>6</v>
      </c>
      <c r="F135" s="2" t="inlineStr"/>
      <c r="G135" s="2" t="inlineStr">
        <is>
          <t>Find K Closest Elements</t>
        </is>
      </c>
      <c r="H135" s="4" t="inlineStr">
        <is>
          <t>Sorted array; binary search the window OR heap.</t>
        </is>
      </c>
      <c r="I135" s="2" t="inlineStr">
        <is>
          <t>Not Started</t>
        </is>
      </c>
      <c r="J135" s="2" t="n"/>
      <c r="K135" s="2" t="n"/>
      <c r="L135" s="4" t="n"/>
      <c r="M135" s="6">
        <f>HYPERLINK("https://leetcode.com/problems/find-k-closest-elements/","Solve on LeetCode ↗")</f>
        <v/>
      </c>
      <c r="N135" s="6">
        <f>HYPERLINK("https://github.com/Prateek-5/question-bank/blob/main/DSA/Topics/Heap_Priority_Queue/learn/Find_K_Closest_Elements.md","View Walkthrough ↗")</f>
        <v/>
      </c>
    </row>
    <row r="136">
      <c r="A136" s="2" t="n">
        <v>135</v>
      </c>
      <c r="B136" s="2" t="inlineStr">
        <is>
          <t>Phase 3 · Trees &amp; Graphs</t>
        </is>
      </c>
      <c r="C136" s="2" t="inlineStr">
        <is>
          <t>⛰️ Heap / Priority Queue</t>
        </is>
      </c>
      <c r="D136" s="2" t="inlineStr">
        <is>
          <t>K-way merge</t>
        </is>
      </c>
      <c r="E136" s="2" t="n">
        <v>7</v>
      </c>
      <c r="F136" s="3" t="inlineStr">
        <is>
          <t>Must-do</t>
        </is>
      </c>
      <c r="G136" s="2" t="inlineStr">
        <is>
          <t>Minimum Cost to Connect Ropes</t>
        </is>
      </c>
      <c r="H136" s="4" t="inlineStr">
        <is>
          <t>Min-heap; always merge two smallest. Huffman vibe.</t>
        </is>
      </c>
      <c r="I136" s="2" t="inlineStr">
        <is>
          <t>Not Started</t>
        </is>
      </c>
      <c r="J136" s="2" t="n"/>
      <c r="K136" s="2" t="n"/>
      <c r="L136" s="4" t="n"/>
      <c r="M136" s="6">
        <f>HYPERLINK("https://leetcode.com/problems/minimum-cost-to-connect-sticks/","Solve on LeetCode ↗")</f>
        <v/>
      </c>
      <c r="N136" s="6">
        <f>HYPERLINK("https://github.com/Prateek-5/question-bank/blob/main/DSA/Topics/Heap_Priority_Queue/learn/Minimum_Cost_to_Connect_Ropes.md","View Walkthrough ↗")</f>
        <v/>
      </c>
    </row>
    <row r="137">
      <c r="A137" s="2" t="n">
        <v>136</v>
      </c>
      <c r="B137" s="2" t="inlineStr">
        <is>
          <t>Phase 3 · Trees &amp; Graphs</t>
        </is>
      </c>
      <c r="C137" s="2" t="inlineStr">
        <is>
          <t>⛰️ Heap / Priority Queue</t>
        </is>
      </c>
      <c r="D137" s="2" t="inlineStr">
        <is>
          <t>K-way merge</t>
        </is>
      </c>
      <c r="E137" s="2" t="n">
        <v>8</v>
      </c>
      <c r="F137" s="2" t="inlineStr"/>
      <c r="G137" s="2" t="inlineStr">
        <is>
          <t>Find K Pairs with Smallest Sums</t>
        </is>
      </c>
      <c r="H137" s="4" t="inlineStr">
        <is>
          <t>Heap of pair-sums; expand neighbors. K-way merge variant.</t>
        </is>
      </c>
      <c r="I137" s="2" t="inlineStr">
        <is>
          <t>Not Started</t>
        </is>
      </c>
      <c r="J137" s="2" t="n"/>
      <c r="K137" s="2" t="n"/>
      <c r="L137" s="4" t="n"/>
      <c r="M137" s="6">
        <f>HYPERLINK("https://leetcode.com/problems/find-k-pairs-with-smallest-sums/","Solve on LeetCode ↗")</f>
        <v/>
      </c>
      <c r="N137" s="6">
        <f>HYPERLINK("https://github.com/Prateek-5/question-bank/blob/main/DSA/Topics/Heap_Priority_Queue/learn/Find_K_Pairs_with_Smallest_Sums.md","View Walkthrough ↗")</f>
        <v/>
      </c>
    </row>
    <row r="138">
      <c r="A138" s="2" t="n">
        <v>137</v>
      </c>
      <c r="B138" s="2" t="inlineStr">
        <is>
          <t>Phase 3 · Trees &amp; Graphs</t>
        </is>
      </c>
      <c r="C138" s="2" t="inlineStr">
        <is>
          <t>⛰️ Heap / Priority Queue</t>
        </is>
      </c>
      <c r="D138" s="2" t="inlineStr">
        <is>
          <t>K-way merge</t>
        </is>
      </c>
      <c r="E138" s="2" t="n">
        <v>9</v>
      </c>
      <c r="F138" s="2" t="inlineStr"/>
      <c r="G138" s="2" t="inlineStr">
        <is>
          <t>Kth Smallest Element in Sorted Matrix</t>
        </is>
      </c>
      <c r="H138" s="4" t="inlineStr">
        <is>
          <t>Heap of row pointers; pop k times. Or binary search on value.</t>
        </is>
      </c>
      <c r="I138" s="2" t="inlineStr">
        <is>
          <t>Not Started</t>
        </is>
      </c>
      <c r="J138" s="2" t="n"/>
      <c r="K138" s="2" t="n"/>
      <c r="L138" s="4" t="n"/>
      <c r="M138" s="6">
        <f>HYPERLINK("https://leetcode.com/problems/kth-smallest-element-in-a-sorted-matrix/","Solve on LeetCode ↗")</f>
        <v/>
      </c>
      <c r="N138" s="6">
        <f>HYPERLINK("https://github.com/Prateek-5/question-bank/blob/main/DSA/Topics/Heap_Priority_Queue/learn/Kth_Smallest_Element_in_Sorted_Matrix.md","View Walkthrough ↗")</f>
        <v/>
      </c>
    </row>
    <row r="139">
      <c r="A139" s="2" t="n">
        <v>138</v>
      </c>
      <c r="B139" s="2" t="inlineStr">
        <is>
          <t>Phase 3 · Trees &amp; Graphs</t>
        </is>
      </c>
      <c r="C139" s="2" t="inlineStr">
        <is>
          <t>⛰️ Heap / Priority Queue</t>
        </is>
      </c>
      <c r="D139" s="2" t="inlineStr">
        <is>
          <t>K-way merge</t>
        </is>
      </c>
      <c r="E139" s="2" t="n">
        <v>10</v>
      </c>
      <c r="F139" s="3" t="inlineStr">
        <is>
          <t>Must-do</t>
        </is>
      </c>
      <c r="G139" s="2" t="inlineStr">
        <is>
          <t>Merge K Sorted Lists</t>
        </is>
      </c>
      <c r="H139" s="4" t="inlineStr">
        <is>
          <t>THE K-way merge. Heap of K heads.</t>
        </is>
      </c>
      <c r="I139" s="2" t="inlineStr">
        <is>
          <t>Not Started</t>
        </is>
      </c>
      <c r="J139" s="2" t="n"/>
      <c r="K139" s="2" t="n"/>
      <c r="L139" s="4" t="n"/>
      <c r="M139" s="6">
        <f>HYPERLINK("https://leetcode.com/problems/merge-k-sorted-lists/","Solve on LeetCode ↗")</f>
        <v/>
      </c>
      <c r="N139" s="6">
        <f>HYPERLINK("https://github.com/Prateek-5/question-bank/blob/main/DSA/Topics/Heap_Priority_Queue/learn/Merge_K_Sorted_Lists.md","View Walkthrough ↗")</f>
        <v/>
      </c>
    </row>
    <row r="140">
      <c r="A140" s="2" t="n">
        <v>139</v>
      </c>
      <c r="B140" s="2" t="inlineStr">
        <is>
          <t>Phase 3 · Trees &amp; Graphs</t>
        </is>
      </c>
      <c r="C140" s="2" t="inlineStr">
        <is>
          <t>⛰️ Heap / Priority Queue</t>
        </is>
      </c>
      <c r="D140" s="2" t="inlineStr">
        <is>
          <t>Two-heap median</t>
        </is>
      </c>
      <c r="E140" s="2" t="n">
        <v>11</v>
      </c>
      <c r="F140" s="3" t="inlineStr">
        <is>
          <t>Must-do</t>
        </is>
      </c>
      <c r="G140" s="2" t="inlineStr">
        <is>
          <t>Find Median from Data Stream</t>
        </is>
      </c>
      <c r="H140" s="4" t="inlineStr">
        <is>
          <t>Max-heap (lower half) + min-heap (upper half), kept balanced. Senior bar.</t>
        </is>
      </c>
      <c r="I140" s="2" t="inlineStr">
        <is>
          <t>Not Started</t>
        </is>
      </c>
      <c r="J140" s="2" t="n"/>
      <c r="K140" s="2" t="n"/>
      <c r="L140" s="4" t="n"/>
      <c r="M140" s="6">
        <f>HYPERLINK("https://leetcode.com/problems/find-median-from-data-stream/","Solve on LeetCode ↗")</f>
        <v/>
      </c>
      <c r="N140" s="6">
        <f>HYPERLINK("https://github.com/Prateek-5/question-bank/blob/main/DSA/Topics/Heap_Priority_Queue/learn/Find_Median_from_Data_Stream.md","View Walkthrough ↗")</f>
        <v/>
      </c>
    </row>
    <row r="141">
      <c r="A141" s="2" t="n">
        <v>140</v>
      </c>
      <c r="B141" s="2" t="inlineStr">
        <is>
          <t>Phase 3 · Trees &amp; Graphs</t>
        </is>
      </c>
      <c r="C141" s="2" t="inlineStr">
        <is>
          <t>🌐 Graph (BFS / DFS / Dijkstra / DSU)</t>
        </is>
      </c>
      <c r="D141" s="2" t="inlineStr">
        <is>
          <t>Grid DFS (start here)</t>
        </is>
      </c>
      <c r="E141" s="2" t="n">
        <v>1</v>
      </c>
      <c r="F141" s="3" t="inlineStr">
        <is>
          <t>Must-do</t>
        </is>
      </c>
      <c r="G141" s="2" t="inlineStr">
        <is>
          <t>Number of Islands</t>
        </is>
      </c>
      <c r="H141" s="4" t="inlineStr">
        <is>
          <t>DFS flood-fill on grid.</t>
        </is>
      </c>
      <c r="I141" s="2" t="inlineStr">
        <is>
          <t>Solved</t>
        </is>
      </c>
      <c r="J141" s="2" t="n"/>
      <c r="K141" s="5" t="n">
        <v>46186</v>
      </c>
      <c r="L141" s="4" t="n"/>
      <c r="M141" s="6">
        <f>HYPERLINK("https://leetcode.com/problems/number-of-islands/","Solve on LeetCode ↗")</f>
        <v/>
      </c>
      <c r="N141" s="6">
        <f>HYPERLINK("https://github.com/Prateek-5/question-bank/blob/main/DSA/Topics/Graph_BFS_DFS_Dijkstra_DSU/learn/Number_of_Islands.md","View Walkthrough ↗")</f>
        <v/>
      </c>
    </row>
    <row r="142">
      <c r="A142" s="2" t="n">
        <v>141</v>
      </c>
      <c r="B142" s="2" t="inlineStr">
        <is>
          <t>Phase 3 · Trees &amp; Graphs</t>
        </is>
      </c>
      <c r="C142" s="2" t="inlineStr">
        <is>
          <t>🌐 Graph (BFS / DFS / Dijkstra / DSU)</t>
        </is>
      </c>
      <c r="D142" s="2" t="inlineStr">
        <is>
          <t>Grid DFS (start here)</t>
        </is>
      </c>
      <c r="E142" s="2" t="n">
        <v>2</v>
      </c>
      <c r="F142" s="2" t="inlineStr"/>
      <c r="G142" s="2" t="inlineStr">
        <is>
          <t>Max Area of Island</t>
        </is>
      </c>
      <c r="H142" s="4" t="inlineStr">
        <is>
          <t>Same, track max area.</t>
        </is>
      </c>
      <c r="I142" s="2" t="inlineStr">
        <is>
          <t>Solved</t>
        </is>
      </c>
      <c r="J142" s="2" t="n"/>
      <c r="K142" s="5" t="n">
        <v>46186</v>
      </c>
      <c r="L142" s="4" t="n"/>
      <c r="M142" s="6">
        <f>HYPERLINK("https://leetcode.com/problems/max-area-of-island/","Solve on LeetCode ↗")</f>
        <v/>
      </c>
      <c r="N142" s="6">
        <f>HYPERLINK("https://github.com/Prateek-5/question-bank/blob/main/DSA/Topics/Graph_BFS_DFS_Dijkstra_DSU/learn/Max_Area_of_Island.md","View Walkthrough ↗")</f>
        <v/>
      </c>
    </row>
    <row r="143">
      <c r="A143" s="2" t="n">
        <v>142</v>
      </c>
      <c r="B143" s="2" t="inlineStr">
        <is>
          <t>Phase 3 · Trees &amp; Graphs</t>
        </is>
      </c>
      <c r="C143" s="2" t="inlineStr">
        <is>
          <t>🌐 Graph (BFS / DFS / Dijkstra / DSU)</t>
        </is>
      </c>
      <c r="D143" s="2" t="inlineStr">
        <is>
          <t>Grid DFS (start here)</t>
        </is>
      </c>
      <c r="E143" s="2" t="n">
        <v>3</v>
      </c>
      <c r="F143" s="3" t="inlineStr">
        <is>
          <t>Must-do</t>
        </is>
      </c>
      <c r="G143" s="2" t="inlineStr">
        <is>
          <t>Number of Provinces</t>
        </is>
      </c>
      <c r="H143" s="4" t="inlineStr">
        <is>
          <t>Adjacency-matrix DFS or DSU.</t>
        </is>
      </c>
      <c r="I143" s="2" t="inlineStr">
        <is>
          <t>Solved</t>
        </is>
      </c>
      <c r="J143" s="2" t="inlineStr">
        <is>
          <t>Yes</t>
        </is>
      </c>
      <c r="K143" s="5" t="n">
        <v>46199</v>
      </c>
      <c r="L143" s="4" t="inlineStr">
        <is>
          <t>This is a variation of DFS</t>
        </is>
      </c>
      <c r="M143" s="6">
        <f>HYPERLINK("https://leetcode.com/problems/number-of-provinces/description/","Solve on LeetCode ↗")</f>
        <v/>
      </c>
      <c r="N143" s="6">
        <f>HYPERLINK("https://github.com/Prateek-5/question-bank/blob/main/DSA/Topics/Graph_BFS_DFS_Dijkstra_DSU/learn/Number_of_Provinces.md","View Walkthrough ↗")</f>
        <v/>
      </c>
    </row>
    <row r="144">
      <c r="A144" s="2" t="n">
        <v>143</v>
      </c>
      <c r="B144" s="2" t="inlineStr">
        <is>
          <t>Phase 3 · Trees &amp; Graphs</t>
        </is>
      </c>
      <c r="C144" s="2" t="inlineStr">
        <is>
          <t>🌐 Graph (BFS / DFS / Dijkstra / DSU)</t>
        </is>
      </c>
      <c r="D144" s="2" t="inlineStr">
        <is>
          <t>Multi-source BFS</t>
        </is>
      </c>
      <c r="E144" s="2" t="n">
        <v>4</v>
      </c>
      <c r="F144" s="3" t="inlineStr">
        <is>
          <t>Must-do</t>
        </is>
      </c>
      <c r="G144" s="2" t="inlineStr">
        <is>
          <t>Rotting Oranges</t>
        </is>
      </c>
      <c r="H144" s="4" t="inlineStr">
        <is>
          <t>Initialize queue with all sources; BFS levels = time.</t>
        </is>
      </c>
      <c r="I144" s="2" t="inlineStr">
        <is>
          <t>Solved</t>
        </is>
      </c>
      <c r="J144" s="2" t="n"/>
      <c r="K144" s="5" t="n">
        <v>46200</v>
      </c>
      <c r="L144" s="4" t="n"/>
      <c r="M144" s="6">
        <f>HYPERLINK("https://leetcode.com/problems/rotting-oranges/","Solve on LeetCode ↗")</f>
        <v/>
      </c>
      <c r="N144" s="6">
        <f>HYPERLINK("https://github.com/Prateek-5/question-bank/blob/main/DSA/Topics/Graph_BFS_DFS_Dijkstra_DSU/learn/Rotting_Oranges.md","View Walkthrough ↗")</f>
        <v/>
      </c>
    </row>
    <row r="145">
      <c r="A145" s="2" t="n">
        <v>144</v>
      </c>
      <c r="B145" s="2" t="inlineStr">
        <is>
          <t>Phase 3 · Trees &amp; Graphs</t>
        </is>
      </c>
      <c r="C145" s="2" t="inlineStr">
        <is>
          <t>🌐 Graph (BFS / DFS / Dijkstra / DSU)</t>
        </is>
      </c>
      <c r="D145" s="2" t="inlineStr">
        <is>
          <t>Multi-source BFS</t>
        </is>
      </c>
      <c r="E145" s="2" t="n">
        <v>5</v>
      </c>
      <c r="F145" s="3" t="inlineStr">
        <is>
          <t>Must-do</t>
        </is>
      </c>
      <c r="G145" s="2" t="inlineStr">
        <is>
          <t>01 Matrix</t>
        </is>
      </c>
      <c r="H145" s="4" t="inlineStr">
        <is>
          <t>Multi-source BFS from all 0s outward.</t>
        </is>
      </c>
      <c r="I145" s="2" t="inlineStr">
        <is>
          <t>Solved</t>
        </is>
      </c>
      <c r="J145" s="2" t="inlineStr">
        <is>
          <t>Yes</t>
        </is>
      </c>
      <c r="K145" s="5" t="n">
        <v>46186</v>
      </c>
      <c r="L145" s="4" t="n"/>
      <c r="M145" s="6">
        <f>HYPERLINK("https://leetcode.com/problems/01-matrix/description/","Solve on LeetCode ↗")</f>
        <v/>
      </c>
      <c r="N145" s="6">
        <f>HYPERLINK("https://github.com/Prateek-5/question-bank/blob/main/DSA/Topics/Graph_BFS_DFS_Dijkstra_DSU/learn/01_Matrix.md","View Walkthrough ↗")</f>
        <v/>
      </c>
    </row>
    <row r="146">
      <c r="A146" s="2" t="n">
        <v>145</v>
      </c>
      <c r="B146" s="2" t="inlineStr">
        <is>
          <t>Phase 3 · Trees &amp; Graphs</t>
        </is>
      </c>
      <c r="C146" s="2" t="inlineStr">
        <is>
          <t>🌐 Graph (BFS / DFS / Dijkstra / DSU)</t>
        </is>
      </c>
      <c r="D146" s="2" t="inlineStr">
        <is>
          <t>Boundary DFS</t>
        </is>
      </c>
      <c r="E146" s="2" t="n">
        <v>6</v>
      </c>
      <c r="F146" s="3" t="inlineStr">
        <is>
          <t>Must-do</t>
        </is>
      </c>
      <c r="G146" s="2" t="inlineStr">
        <is>
          <t>Surrounded Regions</t>
        </is>
      </c>
      <c r="H146" s="4" t="inlineStr">
        <is>
          <t>Mark boundary-reachable Os; flip the rest.</t>
        </is>
      </c>
      <c r="I146" s="2" t="inlineStr">
        <is>
          <t>Solved</t>
        </is>
      </c>
      <c r="J146" s="2" t="n"/>
      <c r="K146" s="5" t="n">
        <v>46200</v>
      </c>
      <c r="L146" s="4" t="n"/>
      <c r="M146" s="6">
        <f>HYPERLINK("https://leetcode.com/problems/surrounded-regions/","Solve on LeetCode ↗")</f>
        <v/>
      </c>
      <c r="N146" s="6">
        <f>HYPERLINK("https://github.com/Prateek-5/question-bank/blob/main/DSA/Topics/Graph_BFS_DFS_Dijkstra_DSU/learn/Surrounded_Regions.md","View Walkthrough ↗")</f>
        <v/>
      </c>
    </row>
    <row r="147">
      <c r="A147" s="2" t="n">
        <v>146</v>
      </c>
      <c r="B147" s="2" t="inlineStr">
        <is>
          <t>Phase 3 · Trees &amp; Graphs</t>
        </is>
      </c>
      <c r="C147" s="2" t="inlineStr">
        <is>
          <t>🌐 Graph (BFS / DFS / Dijkstra / DSU)</t>
        </is>
      </c>
      <c r="D147" s="2" t="inlineStr">
        <is>
          <t>Boundary DFS</t>
        </is>
      </c>
      <c r="E147" s="2" t="n">
        <v>7</v>
      </c>
      <c r="F147" s="2" t="inlineStr"/>
      <c r="G147" s="2" t="inlineStr">
        <is>
          <t>Number of Enclaves</t>
        </is>
      </c>
      <c r="H147" s="4" t="inlineStr">
        <is>
          <t>Same idea.</t>
        </is>
      </c>
      <c r="I147" s="2" t="inlineStr">
        <is>
          <t>Solved</t>
        </is>
      </c>
      <c r="J147" s="2" t="inlineStr">
        <is>
          <t>Yes</t>
        </is>
      </c>
      <c r="K147" s="5" t="n">
        <v>46200</v>
      </c>
      <c r="L147" s="4" t="n"/>
      <c r="M147" s="6">
        <f>HYPERLINK("https://leetcode.com/problems/number-of-enclaves/","Solve on LeetCode ↗")</f>
        <v/>
      </c>
      <c r="N147" s="6">
        <f>HYPERLINK("https://github.com/Prateek-5/question-bank/blob/main/DSA/Topics/Graph_BFS_DFS_Dijkstra_DSU/learn/Number_of_Enclaves.md","View Walkthrough ↗")</f>
        <v/>
      </c>
    </row>
    <row r="148">
      <c r="A148" s="2" t="n">
        <v>147</v>
      </c>
      <c r="B148" s="2" t="inlineStr">
        <is>
          <t>Phase 3 · Trees &amp; Graphs</t>
        </is>
      </c>
      <c r="C148" s="2" t="inlineStr">
        <is>
          <t>🌐 Graph (BFS / DFS / Dijkstra / DSU)</t>
        </is>
      </c>
      <c r="D148" s="2" t="inlineStr">
        <is>
          <t>Simple graph DFS/BFS</t>
        </is>
      </c>
      <c r="E148" s="2" t="n">
        <v>8</v>
      </c>
      <c r="F148" s="3" t="inlineStr">
        <is>
          <t>Must-do</t>
        </is>
      </c>
      <c r="G148" s="2" t="inlineStr">
        <is>
          <t>Keys and Rooms</t>
        </is>
      </c>
      <c r="H148" s="4" t="inlineStr">
        <is>
          <t>DFS/BFS; visited set.</t>
        </is>
      </c>
      <c r="I148" s="2" t="inlineStr">
        <is>
          <t>Solved</t>
        </is>
      </c>
      <c r="J148" s="2" t="n"/>
      <c r="K148" s="5" t="n">
        <v>46200</v>
      </c>
      <c r="L148" s="4" t="n"/>
      <c r="M148" s="6">
        <f>HYPERLINK("https://leetcode.com/problems/keys-and-rooms/","Solve on LeetCode ↗")</f>
        <v/>
      </c>
      <c r="N148" s="6">
        <f>HYPERLINK("https://github.com/Prateek-5/question-bank/blob/main/DSA/Topics/Graph_BFS_DFS_Dijkstra_DSU/learn/Keys_and_Rooms.md","View Walkthrough ↗")</f>
        <v/>
      </c>
    </row>
    <row r="149">
      <c r="A149" s="2" t="n">
        <v>148</v>
      </c>
      <c r="B149" s="2" t="inlineStr">
        <is>
          <t>Phase 3 · Trees &amp; Graphs</t>
        </is>
      </c>
      <c r="C149" s="2" t="inlineStr">
        <is>
          <t>🌐 Graph (BFS / DFS / Dijkstra / DSU)</t>
        </is>
      </c>
      <c r="D149" s="2" t="inlineStr">
        <is>
          <t>Simple graph DFS/BFS</t>
        </is>
      </c>
      <c r="E149" s="2" t="n">
        <v>9</v>
      </c>
      <c r="F149" s="2" t="inlineStr"/>
      <c r="G149" s="2" t="inlineStr">
        <is>
          <t>Find the Town Judge</t>
        </is>
      </c>
      <c r="H149" s="4" t="inlineStr">
        <is>
          <t>In-degree / out-degree counting.</t>
        </is>
      </c>
      <c r="I149" s="2" t="inlineStr">
        <is>
          <t>Solved</t>
        </is>
      </c>
      <c r="J149" s="2" t="n"/>
      <c r="K149" s="5" t="n">
        <v>46201</v>
      </c>
      <c r="L149" s="4" t="n"/>
      <c r="M149" s="6">
        <f>HYPERLINK("https://leetcode.com/problems/find-the-town-judge/","Solve on LeetCode ↗")</f>
        <v/>
      </c>
      <c r="N149" s="6">
        <f>HYPERLINK("https://github.com/Prateek-5/question-bank/blob/main/DSA/Topics/Graph_BFS_DFS_Dijkstra_DSU/learn/Find_the_Town_Judge.md","View Walkthrough ↗")</f>
        <v/>
      </c>
    </row>
    <row r="150">
      <c r="A150" s="2" t="n">
        <v>149</v>
      </c>
      <c r="B150" s="2" t="inlineStr">
        <is>
          <t>Phase 3 · Trees &amp; Graphs</t>
        </is>
      </c>
      <c r="C150" s="2" t="inlineStr">
        <is>
          <t>🌐 Graph (BFS / DFS / Dijkstra / DSU)</t>
        </is>
      </c>
      <c r="D150" s="2" t="inlineStr">
        <is>
          <t>Simple graph DFS/BFS</t>
        </is>
      </c>
      <c r="E150" s="2" t="n">
        <v>10</v>
      </c>
      <c r="F150" s="2" t="inlineStr"/>
      <c r="G150" s="2" t="inlineStr">
        <is>
          <t>Find Eventual Safe States</t>
        </is>
      </c>
      <c r="H150" s="4" t="inlineStr">
        <is>
          <t>Reverse-graph topo or DFS with 3-color cycle detection.</t>
        </is>
      </c>
      <c r="I150" s="2" t="inlineStr">
        <is>
          <t>Not Started</t>
        </is>
      </c>
      <c r="J150" s="2" t="n"/>
      <c r="K150" s="2" t="n"/>
      <c r="L150" s="4" t="n"/>
      <c r="M150" s="6">
        <f>HYPERLINK("https://leetcode.com/problems/find-eventual-safe-states/","Solve on LeetCode ↗")</f>
        <v/>
      </c>
      <c r="N150" s="6">
        <f>HYPERLINK("https://github.com/Prateek-5/question-bank/blob/main/DSA/Topics/Graph_BFS_DFS_Dijkstra_DSU/learn/Find_Eventual_Safe_States.md","View Walkthrough ↗")</f>
        <v/>
      </c>
    </row>
    <row r="151">
      <c r="A151" s="2" t="n">
        <v>150</v>
      </c>
      <c r="B151" s="2" t="inlineStr">
        <is>
          <t>Phase 3 · Trees &amp; Graphs</t>
        </is>
      </c>
      <c r="C151" s="2" t="inlineStr">
        <is>
          <t>🌐 Graph (BFS / DFS / Dijkstra / DSU)</t>
        </is>
      </c>
      <c r="D151" s="2" t="inlineStr">
        <is>
          <t>Bipartite / coloring</t>
        </is>
      </c>
      <c r="E151" s="2" t="n">
        <v>11</v>
      </c>
      <c r="F151" s="3" t="inlineStr">
        <is>
          <t>Must-do</t>
        </is>
      </c>
      <c r="G151" s="2" t="inlineStr">
        <is>
          <t>Is Graph Bipartite</t>
        </is>
      </c>
      <c r="H151" s="4" t="inlineStr">
        <is>
          <t>BFS coloring; adjacent nodes different colors.</t>
        </is>
      </c>
      <c r="I151" s="2" t="inlineStr">
        <is>
          <t>Not Started</t>
        </is>
      </c>
      <c r="J151" s="2" t="n"/>
      <c r="K151" s="2" t="n"/>
      <c r="L151" s="4" t="n"/>
      <c r="M151" s="6">
        <f>HYPERLINK("https://leetcode.com/problems/is-graph-bipartite/","Solve on LeetCode ↗")</f>
        <v/>
      </c>
      <c r="N151" s="6">
        <f>HYPERLINK("https://github.com/Prateek-5/question-bank/blob/main/DSA/Topics/Graph_BFS_DFS_Dijkstra_DSU/learn/Is_Graph_Bipartite.md","View Walkthrough ↗")</f>
        <v/>
      </c>
    </row>
    <row r="152">
      <c r="A152" s="2" t="n">
        <v>151</v>
      </c>
      <c r="B152" s="2" t="inlineStr">
        <is>
          <t>Phase 3 · Trees &amp; Graphs</t>
        </is>
      </c>
      <c r="C152" s="2" t="inlineStr">
        <is>
          <t>🌐 Graph (BFS / DFS / Dijkstra / DSU)</t>
        </is>
      </c>
      <c r="D152" s="2" t="inlineStr">
        <is>
          <t>Shortest path — unweighted (BFS)</t>
        </is>
      </c>
      <c r="E152" s="2" t="n">
        <v>12</v>
      </c>
      <c r="F152" s="3" t="inlineStr">
        <is>
          <t>Must-do</t>
        </is>
      </c>
      <c r="G152" s="2" t="inlineStr">
        <is>
          <t>Shortest Path in an Undirected Graph</t>
        </is>
      </c>
      <c r="H152" s="4" t="inlineStr">
        <is>
          <t>BFS gives shortest path on unweighted graphs.</t>
        </is>
      </c>
      <c r="I152" s="2" t="inlineStr">
        <is>
          <t>Not Started</t>
        </is>
      </c>
      <c r="J152" s="2" t="n"/>
      <c r="K152" s="2" t="n"/>
      <c r="L152" s="4" t="n"/>
      <c r="M152" s="6">
        <f>HYPERLINK("https://www.geeksforgeeks.org/problems/shortest-path-in-weighted-undirected-graph/1","Solve on LeetCode ↗")</f>
        <v/>
      </c>
      <c r="N152" s="6">
        <f>HYPERLINK("https://github.com/Prateek-5/question-bank/blob/main/DSA/Topics/Graph_BFS_DFS_Dijkstra_DSU/learn/Shortest_Path_in_an_Undirected_Graph.md","View Walkthrough ↗")</f>
        <v/>
      </c>
    </row>
    <row r="153">
      <c r="A153" s="2" t="n">
        <v>152</v>
      </c>
      <c r="B153" s="2" t="inlineStr">
        <is>
          <t>Phase 3 · Trees &amp; Graphs</t>
        </is>
      </c>
      <c r="C153" s="2" t="inlineStr">
        <is>
          <t>🌐 Graph (BFS / DFS / Dijkstra / DSU)</t>
        </is>
      </c>
      <c r="D153" s="2" t="inlineStr">
        <is>
          <t>Shortest path — unweighted (BFS)</t>
        </is>
      </c>
      <c r="E153" s="2" t="n">
        <v>13</v>
      </c>
      <c r="F153" s="2" t="inlineStr"/>
      <c r="G153" s="2" t="inlineStr">
        <is>
          <t>Shortest Path in Binary Matrix</t>
        </is>
      </c>
      <c r="H153" s="4" t="inlineStr">
        <is>
          <t>Grid BFS with 8-direction moves.</t>
        </is>
      </c>
      <c r="I153" s="2" t="inlineStr">
        <is>
          <t>Not Started</t>
        </is>
      </c>
      <c r="J153" s="2" t="n"/>
      <c r="K153" s="2" t="n"/>
      <c r="L153" s="4" t="n"/>
      <c r="M153" s="6">
        <f>HYPERLINK("https://leetcode.com/problems/shortest-path-in-binary-matrix/","Solve on LeetCode ↗")</f>
        <v/>
      </c>
      <c r="N153" s="6">
        <f>HYPERLINK("https://github.com/Prateek-5/question-bank/blob/main/DSA/Topics/Graph_BFS_DFS_Dijkstra_DSU/learn/Shortest_Path_in_Binary_Matrix.md","View Walkthrough ↗")</f>
        <v/>
      </c>
    </row>
    <row r="154">
      <c r="A154" s="2" t="n">
        <v>153</v>
      </c>
      <c r="B154" s="2" t="inlineStr">
        <is>
          <t>Phase 3 · Trees &amp; Graphs</t>
        </is>
      </c>
      <c r="C154" s="2" t="inlineStr">
        <is>
          <t>🌐 Graph (BFS / DFS / Dijkstra / DSU)</t>
        </is>
      </c>
      <c r="D154" s="2" t="inlineStr">
        <is>
          <t>Shortest path — unweighted (BFS)</t>
        </is>
      </c>
      <c r="E154" s="2" t="n">
        <v>14</v>
      </c>
      <c r="F154" s="2" t="inlineStr"/>
      <c r="G154" s="2" t="inlineStr">
        <is>
          <t>Check if There Is a Valid Path in a Graph</t>
        </is>
      </c>
      <c r="H154" s="4" t="inlineStr">
        <is>
          <t>BFS reachability or DSU.</t>
        </is>
      </c>
      <c r="I154" s="2" t="inlineStr">
        <is>
          <t>Not Started</t>
        </is>
      </c>
      <c r="J154" s="2" t="n"/>
      <c r="K154" s="2" t="n"/>
      <c r="L154" s="4" t="n"/>
      <c r="M154" s="6">
        <f>HYPERLINK("https://leetcode.com/problems/check-if-there-is-a-valid-path-in-a-grid/description/","Solve on LeetCode ↗")</f>
        <v/>
      </c>
      <c r="N154" s="6">
        <f>HYPERLINK("https://github.com/Prateek-5/question-bank/blob/main/DSA/Topics/Graph_BFS_DFS_Dijkstra_DSU/learn/Check_if_There_Is_a_Valid_Path_in_a_Graph.md","View Walkthrough ↗")</f>
        <v/>
      </c>
    </row>
    <row r="155">
      <c r="A155" s="2" t="n">
        <v>154</v>
      </c>
      <c r="B155" s="2" t="inlineStr">
        <is>
          <t>Phase 3 · Trees &amp; Graphs</t>
        </is>
      </c>
      <c r="C155" s="2" t="inlineStr">
        <is>
          <t>🌐 Graph (BFS / DFS / Dijkstra / DSU)</t>
        </is>
      </c>
      <c r="D155" s="2" t="inlineStr">
        <is>
          <t>Topological sort</t>
        </is>
      </c>
      <c r="E155" s="2" t="n">
        <v>15</v>
      </c>
      <c r="F155" s="3" t="inlineStr">
        <is>
          <t>Must-do</t>
        </is>
      </c>
      <c r="G155" s="2" t="inlineStr">
        <is>
          <t>Course Schedule II</t>
        </is>
      </c>
      <c r="H155" s="4" t="inlineStr">
        <is>
          <t>Kahn's algorithm (BFS on in-degree zero) or DFS post-order reversed.</t>
        </is>
      </c>
      <c r="I155" s="2" t="inlineStr">
        <is>
          <t>Solved</t>
        </is>
      </c>
      <c r="J155" s="2" t="n"/>
      <c r="K155" s="5" t="n">
        <v>46202</v>
      </c>
      <c r="L155" s="4" t="n"/>
      <c r="M155" s="6">
        <f>HYPERLINK("https://leetcode.com/problems/course-schedule-ii/","Solve on LeetCode ↗")</f>
        <v/>
      </c>
      <c r="N155" s="6">
        <f>HYPERLINK("https://github.com/Prateek-5/question-bank/blob/main/DSA/Topics/Graph_BFS_DFS_Dijkstra_DSU/learn/Course_Schedule_II.md","View Walkthrough ↗")</f>
        <v/>
      </c>
    </row>
    <row r="156">
      <c r="A156" s="2" t="n">
        <v>155</v>
      </c>
      <c r="B156" s="2" t="inlineStr">
        <is>
          <t>Phase 3 · Trees &amp; Graphs</t>
        </is>
      </c>
      <c r="C156" s="2" t="inlineStr">
        <is>
          <t>🌐 Graph (BFS / DFS / Dijkstra / DSU)</t>
        </is>
      </c>
      <c r="D156" s="2" t="inlineStr">
        <is>
          <t>Shortest path — weighted</t>
        </is>
      </c>
      <c r="E156" s="2" t="n">
        <v>16</v>
      </c>
      <c r="F156" s="3" t="inlineStr">
        <is>
          <t>Must-do</t>
        </is>
      </c>
      <c r="G156" s="2" t="inlineStr">
        <is>
          <t>Network Delay Time</t>
        </is>
      </c>
      <c r="H156" s="4" t="inlineStr">
        <is>
          <t>Dijkstra (min-heap of distances).</t>
        </is>
      </c>
      <c r="I156" s="2" t="inlineStr">
        <is>
          <t>Not Started</t>
        </is>
      </c>
      <c r="J156" s="2" t="n"/>
      <c r="K156" s="2" t="n"/>
      <c r="L156" s="4" t="n"/>
      <c r="M156" s="6">
        <f>HYPERLINK("https://leetcode.com/problems/network-delay-time/","Solve on LeetCode ↗")</f>
        <v/>
      </c>
      <c r="N156" s="6">
        <f>HYPERLINK("https://github.com/Prateek-5/question-bank/blob/main/DSA/Topics/Graph_BFS_DFS_Dijkstra_DSU/learn/Network_Delay_Time.md","View Walkthrough ↗")</f>
        <v/>
      </c>
    </row>
    <row r="157">
      <c r="A157" s="2" t="n">
        <v>156</v>
      </c>
      <c r="B157" s="2" t="inlineStr">
        <is>
          <t>Phase 3 · Trees &amp; Graphs</t>
        </is>
      </c>
      <c r="C157" s="2" t="inlineStr">
        <is>
          <t>🌐 Graph (BFS / DFS / Dijkstra / DSU)</t>
        </is>
      </c>
      <c r="D157" s="2" t="inlineStr">
        <is>
          <t>Shortest path — weighted</t>
        </is>
      </c>
      <c r="E157" s="2" t="n">
        <v>17</v>
      </c>
      <c r="F157" s="3" t="inlineStr">
        <is>
          <t>Must-do</t>
        </is>
      </c>
      <c r="G157" s="2" t="inlineStr">
        <is>
          <t>Cheapest Flights Within K Stops</t>
        </is>
      </c>
      <c r="H157" s="4" t="inlineStr">
        <is>
          <t>Bellman-Ford limited to K iterations OR Dijkstra with state `(node, stops)`.</t>
        </is>
      </c>
      <c r="I157" s="2" t="inlineStr">
        <is>
          <t>Not Started</t>
        </is>
      </c>
      <c r="J157" s="2" t="n"/>
      <c r="K157" s="2" t="n"/>
      <c r="L157" s="4" t="n"/>
      <c r="M157" s="6">
        <f>HYPERLINK("https://leetcode.com/problems/cheapest-flights-within-k-stops/","Solve on LeetCode ↗")</f>
        <v/>
      </c>
      <c r="N157" s="6">
        <f>HYPERLINK("https://github.com/Prateek-5/question-bank/blob/main/DSA/Topics/Graph_BFS_DFS_Dijkstra_DSU/learn/Cheapest_Flights_Within_K_Stops.md","View Walkthrough ↗")</f>
        <v/>
      </c>
    </row>
    <row r="158">
      <c r="A158" s="2" t="n">
        <v>157</v>
      </c>
      <c r="B158" s="2" t="inlineStr">
        <is>
          <t>Phase 3 · Trees &amp; Graphs</t>
        </is>
      </c>
      <c r="C158" s="2" t="inlineStr">
        <is>
          <t>🌐 Graph (BFS / DFS / Dijkstra / DSU)</t>
        </is>
      </c>
      <c r="D158" s="2" t="inlineStr">
        <is>
          <t>Shortest path — weighted</t>
        </is>
      </c>
      <c r="E158" s="2" t="n">
        <v>18</v>
      </c>
      <c r="F158" s="2" t="inlineStr"/>
      <c r="G158" s="2" t="inlineStr">
        <is>
          <t>Find the City With the Smallest Number of Neighbors</t>
        </is>
      </c>
      <c r="H158" s="4" t="inlineStr">
        <is>
          <t>Floyd-Warshall (all-pairs shortest path).</t>
        </is>
      </c>
      <c r="I158" s="2" t="inlineStr">
        <is>
          <t>Not Started</t>
        </is>
      </c>
      <c r="J158" s="2" t="n"/>
      <c r="K158" s="2" t="n"/>
      <c r="L158" s="4" t="n"/>
      <c r="M158" s="6">
        <f>HYPERLINK("https://leetcode.com/problems/find-the-city-with-the-smallest-number-of-neighbors-at-a-threshold-distance/","Solve on LeetCode ↗")</f>
        <v/>
      </c>
      <c r="N158" s="6">
        <f>HYPERLINK("https://github.com/Prateek-5/question-bank/blob/main/DSA/Topics/Graph_BFS_DFS_Dijkstra_DSU/learn/Find_the_City_With_the_Smallest_Number_of_Neighbors.md","View Walkthrough ↗")</f>
        <v/>
      </c>
    </row>
    <row r="159">
      <c r="A159" s="2" t="n">
        <v>158</v>
      </c>
      <c r="B159" s="2" t="inlineStr">
        <is>
          <t>Phase 3 · Trees &amp; Graphs</t>
        </is>
      </c>
      <c r="C159" s="2" t="inlineStr">
        <is>
          <t>🌐 Graph (BFS / DFS / Dijkstra / DSU)</t>
        </is>
      </c>
      <c r="D159" s="2" t="inlineStr">
        <is>
          <t>DSU (union-find)</t>
        </is>
      </c>
      <c r="E159" s="2" t="n">
        <v>19</v>
      </c>
      <c r="F159" s="3" t="inlineStr">
        <is>
          <t>Must-do</t>
        </is>
      </c>
      <c r="G159" s="2" t="inlineStr">
        <is>
          <t>Number of Operations to Make Network Connected</t>
        </is>
      </c>
      <c r="H159" s="4" t="inlineStr">
        <is>
          <t>DSU; count components.</t>
        </is>
      </c>
      <c r="I159" s="2" t="inlineStr">
        <is>
          <t>Not Started</t>
        </is>
      </c>
      <c r="J159" s="2" t="n"/>
      <c r="K159" s="2" t="n"/>
      <c r="L159" s="4" t="n"/>
      <c r="M159" s="6">
        <f>HYPERLINK("https://leetcode.com/problems/number-of-operations-to-make-network-connected/","Solve on LeetCode ↗")</f>
        <v/>
      </c>
      <c r="N159" s="6">
        <f>HYPERLINK("https://github.com/Prateek-5/question-bank/blob/main/DSA/Topics/Graph_BFS_DFS_Dijkstra_DSU/learn/Number_of_Operations_to_Make_Network_Connected.md","View Walkthrough ↗")</f>
        <v/>
      </c>
    </row>
    <row r="160">
      <c r="A160" s="2" t="n">
        <v>159</v>
      </c>
      <c r="B160" s="2" t="inlineStr">
        <is>
          <t>Phase 3 · Trees &amp; Graphs</t>
        </is>
      </c>
      <c r="C160" s="2" t="inlineStr">
        <is>
          <t>🌐 Graph (BFS / DFS / Dijkstra / DSU)</t>
        </is>
      </c>
      <c r="D160" s="2" t="inlineStr">
        <is>
          <t>DSU (union-find)</t>
        </is>
      </c>
      <c r="E160" s="2" t="n">
        <v>20</v>
      </c>
      <c r="F160" s="3" t="inlineStr">
        <is>
          <t>Must-do</t>
        </is>
      </c>
      <c r="G160" s="2" t="inlineStr">
        <is>
          <t>Redundant Connection</t>
        </is>
      </c>
      <c r="H160" s="4" t="inlineStr">
        <is>
          <t>DSU; first edge whose endpoints already connected.</t>
        </is>
      </c>
      <c r="I160" s="2" t="inlineStr">
        <is>
          <t>Not Started</t>
        </is>
      </c>
      <c r="J160" s="2" t="n"/>
      <c r="K160" s="2" t="n"/>
      <c r="L160" s="4" t="n"/>
      <c r="M160" s="6">
        <f>HYPERLINK("https://leetcode.com/problems/redundant-connection/","Solve on LeetCode ↗")</f>
        <v/>
      </c>
      <c r="N160" s="6">
        <f>HYPERLINK("https://github.com/Prateek-5/question-bank/blob/main/DSA/Topics/Graph_BFS_DFS_Dijkstra_DSU/learn/Redundant_Connection.md","View Walkthrough ↗")</f>
        <v/>
      </c>
    </row>
    <row r="161">
      <c r="A161" s="2" t="n">
        <v>160</v>
      </c>
      <c r="B161" s="2" t="inlineStr">
        <is>
          <t>Phase 3 · Trees &amp; Graphs</t>
        </is>
      </c>
      <c r="C161" s="2" t="inlineStr">
        <is>
          <t>🌐 Graph (BFS / DFS / Dijkstra / DSU)</t>
        </is>
      </c>
      <c r="D161" s="2" t="inlineStr">
        <is>
          <t>DSU (union-find)</t>
        </is>
      </c>
      <c r="E161" s="2" t="n">
        <v>21</v>
      </c>
      <c r="F161" s="3" t="inlineStr">
        <is>
          <t>Must-do</t>
        </is>
      </c>
      <c r="G161" s="2" t="inlineStr">
        <is>
          <t>Accounts Merge</t>
        </is>
      </c>
      <c r="H161" s="4" t="inlineStr">
        <is>
          <t>Map emails to canonical owner via DSU.</t>
        </is>
      </c>
      <c r="I161" s="2" t="inlineStr">
        <is>
          <t>Not Started</t>
        </is>
      </c>
      <c r="J161" s="2" t="n"/>
      <c r="K161" s="2" t="n"/>
      <c r="L161" s="4" t="n"/>
      <c r="M161" s="6">
        <f>HYPERLINK("https://leetcode.com/problems/accounts-merge/","Solve on LeetCode ↗")</f>
        <v/>
      </c>
      <c r="N161" s="6">
        <f>HYPERLINK("https://github.com/Prateek-5/question-bank/blob/main/DSA/Topics/Graph_BFS_DFS_Dijkstra_DSU/learn/Accounts_Merge.md","View Walkthrough ↗")</f>
        <v/>
      </c>
    </row>
    <row r="162">
      <c r="A162" s="2" t="n">
        <v>161</v>
      </c>
      <c r="B162" s="2" t="inlineStr">
        <is>
          <t>Phase 3 · Trees &amp; Graphs</t>
        </is>
      </c>
      <c r="C162" s="2" t="inlineStr">
        <is>
          <t>🌐 Graph (BFS / DFS / Dijkstra / DSU)</t>
        </is>
      </c>
      <c r="D162" s="2" t="inlineStr">
        <is>
          <t>DSU (union-find)</t>
        </is>
      </c>
      <c r="E162" s="2" t="n">
        <v>22</v>
      </c>
      <c r="F162" s="2" t="inlineStr"/>
      <c r="G162" s="2" t="inlineStr">
        <is>
          <t>Most Stones Removed with Same Row or Column</t>
        </is>
      </c>
      <c r="H162" s="4" t="inlineStr">
        <is>
          <t>DSU on rows + cols (use `n + col` to distinguish).</t>
        </is>
      </c>
      <c r="I162" s="2" t="inlineStr">
        <is>
          <t>Not Started</t>
        </is>
      </c>
      <c r="J162" s="2" t="n"/>
      <c r="K162" s="2" t="n"/>
      <c r="L162" s="4" t="n"/>
      <c r="M162" s="6">
        <f>HYPERLINK("https://leetcode.com/problems/most-stones-removed-with-same-row-or-column/","Solve on LeetCode ↗")</f>
        <v/>
      </c>
      <c r="N162" s="6">
        <f>HYPERLINK("https://github.com/Prateek-5/question-bank/blob/main/DSA/Topics/Graph_BFS_DFS_Dijkstra_DSU/learn/Most_Stones_Removed_with_Same_Row_or_Column.md","View Walkthrough ↗")</f>
        <v/>
      </c>
    </row>
    <row r="163">
      <c r="A163" s="2" t="n">
        <v>162</v>
      </c>
      <c r="B163" s="2" t="inlineStr">
        <is>
          <t>Phase 3 · Trees &amp; Graphs</t>
        </is>
      </c>
      <c r="C163" s="2" t="inlineStr">
        <is>
          <t>🌐 Graph (BFS / DFS / Dijkstra / DSU)</t>
        </is>
      </c>
      <c r="D163" s="2" t="inlineStr">
        <is>
          <t>DSU (union-find)</t>
        </is>
      </c>
      <c r="E163" s="2" t="n">
        <v>23</v>
      </c>
      <c r="F163" s="2" t="inlineStr"/>
      <c r="G163" s="2" t="inlineStr">
        <is>
          <t>Satisfiability of Equality Equations</t>
        </is>
      </c>
      <c r="H163" s="4" t="inlineStr">
        <is>
          <t>Union the equals first; check the not-equals after.</t>
        </is>
      </c>
      <c r="I163" s="2" t="inlineStr">
        <is>
          <t>Not Started</t>
        </is>
      </c>
      <c r="J163" s="2" t="n"/>
      <c r="K163" s="2" t="n"/>
      <c r="L163" s="4" t="n"/>
      <c r="M163" s="6">
        <f>HYPERLINK("https://leetcode.com/problems/satisfiability-of-equality-equations/","Solve on LeetCode ↗")</f>
        <v/>
      </c>
      <c r="N163" s="6">
        <f>HYPERLINK("https://github.com/Prateek-5/question-bank/blob/main/DSA/Topics/Graph_BFS_DFS_Dijkstra_DSU/learn/Satisfiability_of_Equality_Equations.md","View Walkthrough ↗")</f>
        <v/>
      </c>
    </row>
    <row r="164">
      <c r="A164" s="2" t="n">
        <v>163</v>
      </c>
      <c r="B164" s="2" t="inlineStr">
        <is>
          <t>Phase 3 · Trees &amp; Graphs</t>
        </is>
      </c>
      <c r="C164" s="2" t="inlineStr">
        <is>
          <t>🌐 Graph (BFS / DFS / Dijkstra / DSU)</t>
        </is>
      </c>
      <c r="D164" s="2" t="inlineStr">
        <is>
          <t>DP on graph / probability</t>
        </is>
      </c>
      <c r="E164" s="2" t="n">
        <v>24</v>
      </c>
      <c r="F164" s="2" t="inlineStr"/>
      <c r="G164" s="2" t="inlineStr">
        <is>
          <t>Knight Probability in Chessboard</t>
        </is>
      </c>
      <c r="H164" s="4" t="inlineStr">
        <is>
          <t>DP `prob[k][r][c]`. Iterate K moves.</t>
        </is>
      </c>
      <c r="I164" s="2" t="inlineStr">
        <is>
          <t>Not Started</t>
        </is>
      </c>
      <c r="J164" s="2" t="n"/>
      <c r="K164" s="2" t="n"/>
      <c r="L164" s="4" t="n"/>
      <c r="M164" s="6">
        <f>HYPERLINK("https://leetcode.com/problems/knight-probability-in-chessboard/","Solve on LeetCode ↗")</f>
        <v/>
      </c>
      <c r="N164" s="6">
        <f>HYPERLINK("https://github.com/Prateek-5/question-bank/blob/main/DSA/Topics/Graph_BFS_DFS_Dijkstra_DSU/learn/Knight_Probability_in_Chessboard.md","View Walkthrough ↗")</f>
        <v/>
      </c>
    </row>
    <row r="165">
      <c r="A165" s="2" t="n">
        <v>164</v>
      </c>
      <c r="B165" s="2" t="inlineStr">
        <is>
          <t>Phase 3 · Trees &amp; Graphs</t>
        </is>
      </c>
      <c r="C165" s="2" t="inlineStr">
        <is>
          <t>🌐 Graph (BFS / DFS / Dijkstra / DSU)</t>
        </is>
      </c>
      <c r="D165" s="2" t="inlineStr">
        <is>
          <t>Misc / advanced</t>
        </is>
      </c>
      <c r="E165" s="2" t="n">
        <v>25</v>
      </c>
      <c r="F165" s="2" t="inlineStr"/>
      <c r="G165" s="2" t="inlineStr">
        <is>
          <t>Count Primes</t>
        </is>
      </c>
      <c r="H165" s="4" t="inlineStr">
        <is>
          <t>Sieve of Eratosthenes (graph-adjacent topic).</t>
        </is>
      </c>
      <c r="I165" s="2" t="inlineStr">
        <is>
          <t>Not Started</t>
        </is>
      </c>
      <c r="J165" s="2" t="n"/>
      <c r="K165" s="2" t="n"/>
      <c r="L165" s="4" t="n"/>
      <c r="M165" s="6">
        <f>HYPERLINK("https://leetcode.com/problems/count-primes/","Solve on LeetCode ↗")</f>
        <v/>
      </c>
      <c r="N165" s="6">
        <f>HYPERLINK("https://github.com/Prateek-5/question-bank/blob/main/DSA/Topics/Graph_BFS_DFS_Dijkstra_DSU/learn/Count_Primes.md","View Walkthrough ↗")</f>
        <v/>
      </c>
    </row>
    <row r="166">
      <c r="A166" s="2" t="n">
        <v>165</v>
      </c>
      <c r="B166" s="2" t="inlineStr">
        <is>
          <t>Phase 3 · Trees &amp; Graphs</t>
        </is>
      </c>
      <c r="C166" s="2" t="inlineStr">
        <is>
          <t>🌐 Graph (BFS / DFS / Dijkstra / DSU)</t>
        </is>
      </c>
      <c r="D166" s="2" t="inlineStr">
        <is>
          <t>Misc / advanced</t>
        </is>
      </c>
      <c r="E166" s="2" t="n">
        <v>26</v>
      </c>
      <c r="F166" s="2" t="inlineStr"/>
      <c r="G166" s="2" t="inlineStr">
        <is>
          <t>Find the Smallest Binary Digit Multiple of Given Number</t>
        </is>
      </c>
      <c r="H166" s="4" t="inlineStr">
        <is>
          <t>BFS on remainders (modular state).</t>
        </is>
      </c>
      <c r="I166" s="2" t="inlineStr">
        <is>
          <t>Not Started</t>
        </is>
      </c>
      <c r="J166" s="2" t="n"/>
      <c r="K166" s="2" t="n"/>
      <c r="L166" s="4" t="n"/>
      <c r="M166" s="6">
        <f>HYPERLINK("https://www.geeksforgeeks.org/dsa/find-the-smallest-binary-digit-multiple-of-given-number/","Solve on LeetCode ↗")</f>
        <v/>
      </c>
      <c r="N166" s="6">
        <f>HYPERLINK("https://github.com/Prateek-5/question-bank/blob/main/DSA/Topics/Graph_BFS_DFS_Dijkstra_DSU/learn/Find_the_Smallest_Binary_Digit_Multiple_of_Given_Number.md","View Walkthrough ↗")</f>
        <v/>
      </c>
    </row>
    <row r="167">
      <c r="A167" s="2" t="n">
        <v>166</v>
      </c>
      <c r="B167" s="2" t="inlineStr">
        <is>
          <t>Phase 3 · Trees &amp; Graphs</t>
        </is>
      </c>
      <c r="C167" s="2" t="inlineStr">
        <is>
          <t>🌐 Graph (BFS / DFS / Dijkstra / DSU)</t>
        </is>
      </c>
      <c r="D167" s="2" t="inlineStr">
        <is>
          <t>Misc / advanced</t>
        </is>
      </c>
      <c r="E167" s="2" t="n">
        <v>27</v>
      </c>
      <c r="F167" s="2" t="inlineStr"/>
      <c r="G167" s="2" t="inlineStr">
        <is>
          <t>Minimum Weight Cycle</t>
        </is>
      </c>
      <c r="H167" s="4" t="inlineStr">
        <is>
          <t>Hardest in the set.</t>
        </is>
      </c>
      <c r="I167" s="2" t="inlineStr">
        <is>
          <t>Not Started</t>
        </is>
      </c>
      <c r="J167" s="2" t="n"/>
      <c r="K167" s="2" t="n"/>
      <c r="L167" s="4" t="n"/>
      <c r="M167" s="6">
        <f>HYPERLINK("https://www.geeksforgeeks.org/problems/minimum-weight-cycle/1","Solve on LeetCode ↗")</f>
        <v/>
      </c>
      <c r="N167" s="6">
        <f>HYPERLINK("https://github.com/Prateek-5/question-bank/blob/main/DSA/Topics/Graph_BFS_DFS_Dijkstra_DSU/learn/Minimum_Weight_Cycle.md","View Walkthrough ↗")</f>
        <v/>
      </c>
    </row>
    <row r="168">
      <c r="A168" s="2" t="n">
        <v>167</v>
      </c>
      <c r="B168" s="2" t="inlineStr">
        <is>
          <t>Phase 4 · Optimization &amp; Advanced</t>
        </is>
      </c>
      <c r="C168" s="2" t="inlineStr">
        <is>
          <t>💰 Greedy</t>
        </is>
      </c>
      <c r="D168" s="2" t="inlineStr">
        <is>
          <t>Two-pointer greedy match</t>
        </is>
      </c>
      <c r="E168" s="2" t="n">
        <v>1</v>
      </c>
      <c r="F168" s="3" t="inlineStr">
        <is>
          <t>Must-do</t>
        </is>
      </c>
      <c r="G168" s="2" t="inlineStr">
        <is>
          <t>Assign Cookies</t>
        </is>
      </c>
      <c r="H168" s="4" t="inlineStr">
        <is>
          <t>Sort both, two pointers; smallest greedy match.</t>
        </is>
      </c>
      <c r="I168" s="2" t="inlineStr">
        <is>
          <t>Not Started</t>
        </is>
      </c>
      <c r="J168" s="2" t="n"/>
      <c r="K168" s="2" t="n"/>
      <c r="L168" s="4" t="n"/>
      <c r="M168" s="6">
        <f>HYPERLINK("https://leetcode.com/problems/assign-cookies/","Solve on LeetCode ↗")</f>
        <v/>
      </c>
      <c r="N168" s="6">
        <f>HYPERLINK("https://github.com/Prateek-5/question-bank/blob/main/DSA/Topics/Greedy/learn/Assign_Cookies.md","View Walkthrough ↗")</f>
        <v/>
      </c>
    </row>
    <row r="169">
      <c r="A169" s="2" t="n">
        <v>168</v>
      </c>
      <c r="B169" s="2" t="inlineStr">
        <is>
          <t>Phase 4 · Optimization &amp; Advanced</t>
        </is>
      </c>
      <c r="C169" s="2" t="inlineStr">
        <is>
          <t>💰 Greedy</t>
        </is>
      </c>
      <c r="D169" s="2" t="inlineStr">
        <is>
          <t>Sort + product / sign</t>
        </is>
      </c>
      <c r="E169" s="2" t="n">
        <v>2</v>
      </c>
      <c r="F169" s="2" t="inlineStr"/>
      <c r="G169" s="2" t="inlineStr">
        <is>
          <t>Distribute Candies</t>
        </is>
      </c>
      <c r="H169" s="4" t="inlineStr">
        <is>
          <t>Distinct types; `min(distinct, n/2)`.</t>
        </is>
      </c>
      <c r="I169" s="2" t="inlineStr">
        <is>
          <t>Not Started</t>
        </is>
      </c>
      <c r="J169" s="2" t="n"/>
      <c r="K169" s="2" t="n"/>
      <c r="L169" s="4" t="n"/>
      <c r="M169" s="6">
        <f>HYPERLINK("https://leetcode.com/problems/distribute-candies/","Solve on LeetCode ↗")</f>
        <v/>
      </c>
      <c r="N169" s="6">
        <f>HYPERLINK("https://github.com/Prateek-5/question-bank/blob/main/DSA/Topics/Greedy/learn/Distribute_Candies.md","View Walkthrough ↗")</f>
        <v/>
      </c>
    </row>
    <row r="170">
      <c r="A170" s="2" t="n">
        <v>169</v>
      </c>
      <c r="B170" s="2" t="inlineStr">
        <is>
          <t>Phase 4 · Optimization &amp; Advanced</t>
        </is>
      </c>
      <c r="C170" s="2" t="inlineStr">
        <is>
          <t>💰 Greedy</t>
        </is>
      </c>
      <c r="D170" s="2" t="inlineStr">
        <is>
          <t>Sort + product / sign</t>
        </is>
      </c>
      <c r="E170" s="2" t="n">
        <v>3</v>
      </c>
      <c r="F170" s="2" t="inlineStr"/>
      <c r="G170" s="2" t="inlineStr">
        <is>
          <t>Maximum Product of Three Numbers</t>
        </is>
      </c>
      <c r="H170" s="4" t="inlineStr">
        <is>
          <t>Sort; max of `(last 3) vs (first 2 + last 1)`. Handles negatives.</t>
        </is>
      </c>
      <c r="I170" s="2" t="inlineStr">
        <is>
          <t>Not Started</t>
        </is>
      </c>
      <c r="J170" s="2" t="n"/>
      <c r="K170" s="2" t="n"/>
      <c r="L170" s="4" t="n"/>
      <c r="M170" s="6">
        <f>HYPERLINK("https://leetcode.com/problems/maximum-product-of-three-numbers/","Solve on LeetCode ↗")</f>
        <v/>
      </c>
      <c r="N170" s="6">
        <f>HYPERLINK("https://github.com/Prateek-5/question-bank/blob/main/DSA/Topics/Greedy/learn/Maximum_Product_of_Three_Numbers.md","View Walkthrough ↗")</f>
        <v/>
      </c>
    </row>
    <row r="171">
      <c r="A171" s="2" t="n">
        <v>170</v>
      </c>
      <c r="B171" s="2" t="inlineStr">
        <is>
          <t>Phase 4 · Optimization &amp; Advanced</t>
        </is>
      </c>
      <c r="C171" s="2" t="inlineStr">
        <is>
          <t>💰 Greedy</t>
        </is>
      </c>
      <c r="D171" s="2" t="inlineStr">
        <is>
          <t>Sort + product / sign</t>
        </is>
      </c>
      <c r="E171" s="2" t="n">
        <v>4</v>
      </c>
      <c r="F171" s="2" t="inlineStr"/>
      <c r="G171" s="2" t="inlineStr">
        <is>
          <t>Maximize Sum After K Negations</t>
        </is>
      </c>
      <c r="H171" s="4" t="inlineStr">
        <is>
          <t>Sort or min-heap; flip smallest K times.</t>
        </is>
      </c>
      <c r="I171" s="2" t="inlineStr">
        <is>
          <t>Not Started</t>
        </is>
      </c>
      <c r="J171" s="2" t="n"/>
      <c r="K171" s="2" t="n"/>
      <c r="L171" s="4" t="n"/>
      <c r="M171" s="6">
        <f>HYPERLINK("https://leetcode.com/problems/maximize-sum-of-array-after-k-negations/","Solve on LeetCode ↗")</f>
        <v/>
      </c>
      <c r="N171" s="6">
        <f>HYPERLINK("https://github.com/Prateek-5/question-bank/blob/main/DSA/Topics/Greedy/learn/Maximize_Sum_After_K_Negations.md","View Walkthrough ↗")</f>
        <v/>
      </c>
    </row>
    <row r="172">
      <c r="A172" s="2" t="n">
        <v>171</v>
      </c>
      <c r="B172" s="2" t="inlineStr">
        <is>
          <t>Phase 4 · Optimization &amp; Advanced</t>
        </is>
      </c>
      <c r="C172" s="2" t="inlineStr">
        <is>
          <t>💰 Greedy</t>
        </is>
      </c>
      <c r="D172" s="2" t="inlineStr">
        <is>
          <t>Interval scheduling</t>
        </is>
      </c>
      <c r="E172" s="2" t="n">
        <v>5</v>
      </c>
      <c r="F172" s="3" t="inlineStr">
        <is>
          <t>Must-do</t>
        </is>
      </c>
      <c r="G172" s="2" t="inlineStr">
        <is>
          <t>Non overlapping Intervals</t>
        </is>
      </c>
      <c r="H172" s="4" t="inlineStr">
        <is>
          <t>Sort by end time; pick if start ≥ last end. The interval-greedy template.</t>
        </is>
      </c>
      <c r="I172" s="2" t="inlineStr">
        <is>
          <t>Not Started</t>
        </is>
      </c>
      <c r="J172" s="2" t="n"/>
      <c r="K172" s="2" t="n"/>
      <c r="L172" s="4" t="n"/>
      <c r="M172" s="6">
        <f>HYPERLINK("https://leetcode.com/problems/non-overlapping-intervals/","Solve on LeetCode ↗")</f>
        <v/>
      </c>
      <c r="N172" s="6">
        <f>HYPERLINK("https://github.com/Prateek-5/question-bank/blob/main/DSA/Topics/Greedy/learn/Non_overlapping_Intervals.md","View Walkthrough ↗")</f>
        <v/>
      </c>
    </row>
    <row r="173">
      <c r="A173" s="2" t="n">
        <v>172</v>
      </c>
      <c r="B173" s="2" t="inlineStr">
        <is>
          <t>Phase 4 · Optimization &amp; Advanced</t>
        </is>
      </c>
      <c r="C173" s="2" t="inlineStr">
        <is>
          <t>💰 Greedy</t>
        </is>
      </c>
      <c r="D173" s="2" t="inlineStr">
        <is>
          <t>Interval scheduling</t>
        </is>
      </c>
      <c r="E173" s="2" t="n">
        <v>6</v>
      </c>
      <c r="F173" s="3" t="inlineStr">
        <is>
          <t>Must-do</t>
        </is>
      </c>
      <c r="G173" s="2" t="inlineStr">
        <is>
          <t>Minimum Platforms</t>
        </is>
      </c>
      <c r="H173" s="4" t="inlineStr">
        <is>
          <t>Sort starts and ends separately; two-pointer sweep.</t>
        </is>
      </c>
      <c r="I173" s="2" t="inlineStr">
        <is>
          <t>Not Started</t>
        </is>
      </c>
      <c r="J173" s="2" t="n"/>
      <c r="K173" s="2" t="n"/>
      <c r="L173" s="4" t="n"/>
      <c r="M173" s="6">
        <f>HYPERLINK("https://practice.geeksforgeeks.org/problems/minimum-platforms-1587115620/1","Solve on LeetCode ↗")</f>
        <v/>
      </c>
      <c r="N173" s="6">
        <f>HYPERLINK("https://github.com/Prateek-5/question-bank/blob/main/DSA/Topics/Greedy/learn/Minimum_Platforms.md","View Walkthrough ↗")</f>
        <v/>
      </c>
    </row>
    <row r="174">
      <c r="A174" s="2" t="n">
        <v>173</v>
      </c>
      <c r="B174" s="2" t="inlineStr">
        <is>
          <t>Phase 4 · Optimization &amp; Advanced</t>
        </is>
      </c>
      <c r="C174" s="2" t="inlineStr">
        <is>
          <t>💰 Greedy</t>
        </is>
      </c>
      <c r="D174" s="2" t="inlineStr">
        <is>
          <t>Math observation</t>
        </is>
      </c>
      <c r="E174" s="2" t="n">
        <v>7</v>
      </c>
      <c r="F174" s="2" t="inlineStr"/>
      <c r="G174" s="2" t="inlineStr">
        <is>
          <t>Bulb Switcher</t>
        </is>
      </c>
      <c r="H174" s="4" t="inlineStr">
        <is>
          <t>Square numbers have odd divisors → `floor(sqrt(n))`.</t>
        </is>
      </c>
      <c r="I174" s="2" t="inlineStr">
        <is>
          <t>Not Started</t>
        </is>
      </c>
      <c r="J174" s="2" t="n"/>
      <c r="K174" s="2" t="n"/>
      <c r="L174" s="4" t="n"/>
      <c r="M174" s="6">
        <f>HYPERLINK("https://leetcode.com/problems/bulb-switcher/","Solve on LeetCode ↗")</f>
        <v/>
      </c>
      <c r="N174" s="6">
        <f>HYPERLINK("https://github.com/Prateek-5/question-bank/blob/main/DSA/Topics/Greedy/learn/Bulb_Switcher.md","View Walkthrough ↗")</f>
        <v/>
      </c>
    </row>
    <row r="175">
      <c r="A175" s="2" t="n">
        <v>174</v>
      </c>
      <c r="B175" s="2" t="inlineStr">
        <is>
          <t>Phase 4 · Optimization &amp; Advanced</t>
        </is>
      </c>
      <c r="C175" s="2" t="inlineStr">
        <is>
          <t>🧠 Dynamic Programming (DP)</t>
        </is>
      </c>
      <c r="D175" s="2" t="inlineStr">
        <is>
          <t>1D linear DP — Fibonacci family</t>
        </is>
      </c>
      <c r="E175" s="2" t="n">
        <v>1</v>
      </c>
      <c r="F175" s="3" t="inlineStr">
        <is>
          <t>Must-do</t>
        </is>
      </c>
      <c r="G175" s="2" t="inlineStr">
        <is>
          <t>Climbing Stairs</t>
        </is>
      </c>
      <c r="H175" s="4" t="inlineStr">
        <is>
          <t>`f(n) = f(n-1) + f(n-2)`. THE intro.</t>
        </is>
      </c>
      <c r="I175" s="2" t="inlineStr">
        <is>
          <t>Not Started</t>
        </is>
      </c>
      <c r="J175" s="2" t="n"/>
      <c r="K175" s="2" t="n"/>
      <c r="L175" s="4" t="n"/>
      <c r="M175" s="6">
        <f>HYPERLINK("https://leetcode.com/problems/climbing-stairs/","Solve on LeetCode ↗")</f>
        <v/>
      </c>
      <c r="N175" s="6">
        <f>HYPERLINK("https://github.com/Prateek-5/question-bank/blob/main/DSA/Topics/Dynamic_Programming_DP/learn/Climbing_Stairs.md","View Walkthrough ↗")</f>
        <v/>
      </c>
    </row>
    <row r="176">
      <c r="A176" s="2" t="n">
        <v>175</v>
      </c>
      <c r="B176" s="2" t="inlineStr">
        <is>
          <t>Phase 4 · Optimization &amp; Advanced</t>
        </is>
      </c>
      <c r="C176" s="2" t="inlineStr">
        <is>
          <t>🧠 Dynamic Programming (DP)</t>
        </is>
      </c>
      <c r="D176" s="2" t="inlineStr">
        <is>
          <t>1D linear DP — Fibonacci family</t>
        </is>
      </c>
      <c r="E176" s="2" t="n">
        <v>2</v>
      </c>
      <c r="F176" s="2" t="inlineStr"/>
      <c r="G176" s="2" t="inlineStr">
        <is>
          <t>Min Cost Climbing Stairs</t>
        </is>
      </c>
      <c r="H176" s="4" t="inlineStr">
        <is>
          <t>Variant with costs.</t>
        </is>
      </c>
      <c r="I176" s="2" t="inlineStr">
        <is>
          <t>Not Started</t>
        </is>
      </c>
      <c r="J176" s="2" t="n"/>
      <c r="K176" s="2" t="n"/>
      <c r="L176" s="4" t="n"/>
      <c r="M176" s="6">
        <f>HYPERLINK("https://leetcode.com/problems/min-cost-climbing-stairs/","Solve on LeetCode ↗")</f>
        <v/>
      </c>
      <c r="N176" s="6">
        <f>HYPERLINK("https://github.com/Prateek-5/question-bank/blob/main/DSA/Topics/Dynamic_Programming_DP/learn/Min_Cost_Climbing_Stairs.md","View Walkthrough ↗")</f>
        <v/>
      </c>
    </row>
    <row r="177">
      <c r="A177" s="2" t="n">
        <v>176</v>
      </c>
      <c r="B177" s="2" t="inlineStr">
        <is>
          <t>Phase 4 · Optimization &amp; Advanced</t>
        </is>
      </c>
      <c r="C177" s="2" t="inlineStr">
        <is>
          <t>🧠 Dynamic Programming (DP)</t>
        </is>
      </c>
      <c r="D177" s="2" t="inlineStr">
        <is>
          <t>1D linear DP — Fibonacci family</t>
        </is>
      </c>
      <c r="E177" s="2" t="n">
        <v>3</v>
      </c>
      <c r="F177" s="3" t="inlineStr">
        <is>
          <t>Must-do</t>
        </is>
      </c>
      <c r="G177" s="2" t="inlineStr">
        <is>
          <t>Maximum Subarray</t>
        </is>
      </c>
      <c r="H177" s="4" t="inlineStr">
        <is>
          <t>Kadane: `dp[i] = max(nums[i], dp[i-1] + nums[i])`.</t>
        </is>
      </c>
      <c r="I177" s="2" t="inlineStr">
        <is>
          <t>Not Started</t>
        </is>
      </c>
      <c r="J177" s="2" t="n"/>
      <c r="K177" s="2" t="n"/>
      <c r="L177" s="4" t="n"/>
      <c r="M177" s="6">
        <f>HYPERLINK("https://leetcode.com/problems/maximum-subarray/","Solve on LeetCode ↗")</f>
        <v/>
      </c>
      <c r="N177" s="6">
        <f>HYPERLINK("https://github.com/Prateek-5/question-bank/blob/main/DSA/Topics/Dynamic_Programming_DP/learn/Maximum_Subarray.md","View Walkthrough ↗")</f>
        <v/>
      </c>
    </row>
    <row r="178">
      <c r="A178" s="2" t="n">
        <v>177</v>
      </c>
      <c r="B178" s="2" t="inlineStr">
        <is>
          <t>Phase 4 · Optimization &amp; Advanced</t>
        </is>
      </c>
      <c r="C178" s="2" t="inlineStr">
        <is>
          <t>🧠 Dynamic Programming (DP)</t>
        </is>
      </c>
      <c r="D178" s="2" t="inlineStr">
        <is>
          <t>Grid DP</t>
        </is>
      </c>
      <c r="E178" s="2" t="n">
        <v>4</v>
      </c>
      <c r="F178" s="3" t="inlineStr">
        <is>
          <t>Must-do</t>
        </is>
      </c>
      <c r="G178" s="2" t="inlineStr">
        <is>
          <t>Unique Paths</t>
        </is>
      </c>
      <c r="H178" s="4" t="inlineStr">
        <is>
          <t>`dp[i][j] = dp[i-1][j] + dp[i][j-1]`.</t>
        </is>
      </c>
      <c r="I178" s="2" t="inlineStr">
        <is>
          <t>Not Started</t>
        </is>
      </c>
      <c r="J178" s="2" t="n"/>
      <c r="K178" s="2" t="n"/>
      <c r="L178" s="4" t="n"/>
      <c r="M178" s="6">
        <f>HYPERLINK("https://leetcode.com/problems/unique-paths/","Solve on LeetCode ↗")</f>
        <v/>
      </c>
      <c r="N178" s="6">
        <f>HYPERLINK("https://github.com/Prateek-5/question-bank/blob/main/DSA/Topics/Dynamic_Programming_DP/learn/Unique_Paths.md","View Walkthrough ↗")</f>
        <v/>
      </c>
    </row>
    <row r="179">
      <c r="A179" s="2" t="n">
        <v>178</v>
      </c>
      <c r="B179" s="2" t="inlineStr">
        <is>
          <t>Phase 4 · Optimization &amp; Advanced</t>
        </is>
      </c>
      <c r="C179" s="2" t="inlineStr">
        <is>
          <t>🧠 Dynamic Programming (DP)</t>
        </is>
      </c>
      <c r="D179" s="2" t="inlineStr">
        <is>
          <t>Grid DP</t>
        </is>
      </c>
      <c r="E179" s="2" t="n">
        <v>5</v>
      </c>
      <c r="F179" s="2" t="inlineStr"/>
      <c r="G179" s="2" t="inlineStr">
        <is>
          <t>Unique Paths II</t>
        </is>
      </c>
      <c r="H179" s="4" t="inlineStr">
        <is>
          <t>With obstacles.</t>
        </is>
      </c>
      <c r="I179" s="2" t="inlineStr">
        <is>
          <t>Not Started</t>
        </is>
      </c>
      <c r="J179" s="2" t="n"/>
      <c r="K179" s="2" t="n"/>
      <c r="L179" s="4" t="n"/>
      <c r="M179" s="6">
        <f>HYPERLINK("https://leetcode.com/problems/unique-paths-ii/","Solve on LeetCode ↗")</f>
        <v/>
      </c>
      <c r="N179" s="6">
        <f>HYPERLINK("https://github.com/Prateek-5/question-bank/blob/main/DSA/Topics/Dynamic_Programming_DP/learn/Unique_Paths_II.md","View Walkthrough ↗")</f>
        <v/>
      </c>
    </row>
    <row r="180">
      <c r="A180" s="2" t="n">
        <v>179</v>
      </c>
      <c r="B180" s="2" t="inlineStr">
        <is>
          <t>Phase 4 · Optimization &amp; Advanced</t>
        </is>
      </c>
      <c r="C180" s="2" t="inlineStr">
        <is>
          <t>🧠 Dynamic Programming (DP)</t>
        </is>
      </c>
      <c r="D180" s="2" t="inlineStr">
        <is>
          <t>Grid DP</t>
        </is>
      </c>
      <c r="E180" s="2" t="n">
        <v>6</v>
      </c>
      <c r="F180" s="3" t="inlineStr">
        <is>
          <t>Must-do</t>
        </is>
      </c>
      <c r="G180" s="2" t="inlineStr">
        <is>
          <t>Minimum Path Sum</t>
        </is>
      </c>
      <c r="H180" s="4" t="inlineStr">
        <is>
          <t>Cost grid; min-sum path.</t>
        </is>
      </c>
      <c r="I180" s="2" t="inlineStr">
        <is>
          <t>Not Started</t>
        </is>
      </c>
      <c r="J180" s="2" t="n"/>
      <c r="K180" s="2" t="n"/>
      <c r="L180" s="4" t="n"/>
      <c r="M180" s="6">
        <f>HYPERLINK("https://leetcode.com/problems/minimum-path-sum/","Solve on LeetCode ↗")</f>
        <v/>
      </c>
      <c r="N180" s="6">
        <f>HYPERLINK("https://github.com/Prateek-5/question-bank/blob/main/DSA/Topics/Dynamic_Programming_DP/learn/Minimum_Path_Sum.md","View Walkthrough ↗")</f>
        <v/>
      </c>
    </row>
    <row r="181">
      <c r="A181" s="2" t="n">
        <v>180</v>
      </c>
      <c r="B181" s="2" t="inlineStr">
        <is>
          <t>Phase 4 · Optimization &amp; Advanced</t>
        </is>
      </c>
      <c r="C181" s="2" t="inlineStr">
        <is>
          <t>🧠 Dynamic Programming (DP)</t>
        </is>
      </c>
      <c r="D181" s="2" t="inlineStr">
        <is>
          <t>Grid DP</t>
        </is>
      </c>
      <c r="E181" s="2" t="n">
        <v>7</v>
      </c>
      <c r="F181" s="3" t="inlineStr">
        <is>
          <t>Must-do</t>
        </is>
      </c>
      <c r="G181" s="2" t="inlineStr">
        <is>
          <t>Triangle</t>
        </is>
      </c>
      <c r="H181" s="4" t="inlineStr">
        <is>
          <t>Bottom-up rows; in-place.</t>
        </is>
      </c>
      <c r="I181" s="2" t="inlineStr">
        <is>
          <t>Not Started</t>
        </is>
      </c>
      <c r="J181" s="2" t="n"/>
      <c r="K181" s="2" t="n"/>
      <c r="L181" s="4" t="n"/>
      <c r="M181" s="6">
        <f>HYPERLINK("https://leetcode.com/problems/triangle/","Solve on LeetCode ↗")</f>
        <v/>
      </c>
      <c r="N181" s="6">
        <f>HYPERLINK("https://github.com/Prateek-5/question-bank/blob/main/DSA/Topics/Dynamic_Programming_DP/learn/Triangle.md","View Walkthrough ↗")</f>
        <v/>
      </c>
    </row>
    <row r="182">
      <c r="A182" s="2" t="n">
        <v>181</v>
      </c>
      <c r="B182" s="2" t="inlineStr">
        <is>
          <t>Phase 4 · Optimization &amp; Advanced</t>
        </is>
      </c>
      <c r="C182" s="2" t="inlineStr">
        <is>
          <t>🧠 Dynamic Programming (DP)</t>
        </is>
      </c>
      <c r="D182" s="2" t="inlineStr">
        <is>
          <t>String DP — sequences (LIS, LCS family)</t>
        </is>
      </c>
      <c r="E182" s="2" t="n">
        <v>8</v>
      </c>
      <c r="F182" s="3" t="inlineStr">
        <is>
          <t>Must-do</t>
        </is>
      </c>
      <c r="G182" s="2" t="inlineStr">
        <is>
          <t>Longest Increasing Subsequence</t>
        </is>
      </c>
      <c r="H182" s="4" t="inlineStr">
        <is>
          <t>`dp[i]` = LIS ending at i; O(n²) or O(n log n) with binary search.</t>
        </is>
      </c>
      <c r="I182" s="2" t="inlineStr">
        <is>
          <t>Not Started</t>
        </is>
      </c>
      <c r="J182" s="2" t="n"/>
      <c r="K182" s="2" t="n"/>
      <c r="L182" s="4" t="n"/>
      <c r="M182" s="6">
        <f>HYPERLINK("https://leetcode.com/problems/longest-increasing-subsequence/","Solve on LeetCode ↗")</f>
        <v/>
      </c>
      <c r="N182" s="6">
        <f>HYPERLINK("https://github.com/Prateek-5/question-bank/blob/main/DSA/Topics/Dynamic_Programming_DP/learn/Longest_Increasing_Subsequence.md","View Walkthrough ↗")</f>
        <v/>
      </c>
    </row>
    <row r="183">
      <c r="A183" s="2" t="n">
        <v>182</v>
      </c>
      <c r="B183" s="2" t="inlineStr">
        <is>
          <t>Phase 4 · Optimization &amp; Advanced</t>
        </is>
      </c>
      <c r="C183" s="2" t="inlineStr">
        <is>
          <t>🧠 Dynamic Programming (DP)</t>
        </is>
      </c>
      <c r="D183" s="2" t="inlineStr">
        <is>
          <t>String DP — sequences (LIS, LCS family)</t>
        </is>
      </c>
      <c r="E183" s="2" t="n">
        <v>9</v>
      </c>
      <c r="F183" s="2" t="inlineStr"/>
      <c r="G183" s="2" t="inlineStr">
        <is>
          <t>Longest Arithmetic Subsequence</t>
        </is>
      </c>
      <c r="H183" s="4" t="inlineStr">
        <is>
          <t>`dp[i][diff]` (map per i).</t>
        </is>
      </c>
      <c r="I183" s="2" t="inlineStr">
        <is>
          <t>Not Started</t>
        </is>
      </c>
      <c r="J183" s="2" t="n"/>
      <c r="K183" s="2" t="n"/>
      <c r="L183" s="4" t="n"/>
      <c r="M183" s="6">
        <f>HYPERLINK("https://leetcode.com/problems/longest-arithmetic-subsequence/","Solve on LeetCode ↗")</f>
        <v/>
      </c>
      <c r="N183" s="6">
        <f>HYPERLINK("https://github.com/Prateek-5/question-bank/blob/main/DSA/Topics/Dynamic_Programming_DP/learn/Longest_Arithmetic_Subsequence.md","View Walkthrough ↗")</f>
        <v/>
      </c>
    </row>
    <row r="184">
      <c r="A184" s="2" t="n">
        <v>183</v>
      </c>
      <c r="B184" s="2" t="inlineStr">
        <is>
          <t>Phase 4 · Optimization &amp; Advanced</t>
        </is>
      </c>
      <c r="C184" s="2" t="inlineStr">
        <is>
          <t>🧠 Dynamic Programming (DP)</t>
        </is>
      </c>
      <c r="D184" s="2" t="inlineStr">
        <is>
          <t>String DP — sequences (LIS, LCS family)</t>
        </is>
      </c>
      <c r="E184" s="2" t="n">
        <v>10</v>
      </c>
      <c r="F184" s="3" t="inlineStr">
        <is>
          <t>Must-do</t>
        </is>
      </c>
      <c r="G184" s="2" t="inlineStr">
        <is>
          <t>Russian Doll Envelopes</t>
        </is>
      </c>
      <c r="H184" s="4" t="inlineStr">
        <is>
          <t>Sort + LIS on heights.</t>
        </is>
      </c>
      <c r="I184" s="2" t="inlineStr">
        <is>
          <t>Not Started</t>
        </is>
      </c>
      <c r="J184" s="2" t="n"/>
      <c r="K184" s="2" t="n"/>
      <c r="L184" s="4" t="n"/>
      <c r="M184" s="6">
        <f>HYPERLINK("https://leetcode.com/problems/russian-doll-envelopes/","Solve on LeetCode ↗")</f>
        <v/>
      </c>
      <c r="N184" s="6">
        <f>HYPERLINK("https://github.com/Prateek-5/question-bank/blob/main/DSA/Topics/Dynamic_Programming_DP/learn/Russian_Doll_Envelopes.md","View Walkthrough ↗")</f>
        <v/>
      </c>
    </row>
    <row r="185">
      <c r="A185" s="2" t="n">
        <v>184</v>
      </c>
      <c r="B185" s="2" t="inlineStr">
        <is>
          <t>Phase 4 · Optimization &amp; Advanced</t>
        </is>
      </c>
      <c r="C185" s="2" t="inlineStr">
        <is>
          <t>🧠 Dynamic Programming (DP)</t>
        </is>
      </c>
      <c r="D185" s="2" t="inlineStr">
        <is>
          <t>String DP — sequences (LIS, LCS family)</t>
        </is>
      </c>
      <c r="E185" s="2" t="n">
        <v>11</v>
      </c>
      <c r="F185" s="2" t="inlineStr"/>
      <c r="G185" s="2" t="inlineStr">
        <is>
          <t>Maximum Height by Stacking Cuboids</t>
        </is>
      </c>
      <c r="H185" s="4" t="inlineStr">
        <is>
          <t>3D LIS variant.</t>
        </is>
      </c>
      <c r="I185" s="2" t="inlineStr">
        <is>
          <t>Not Started</t>
        </is>
      </c>
      <c r="J185" s="2" t="n"/>
      <c r="K185" s="2" t="n"/>
      <c r="L185" s="4" t="n"/>
      <c r="M185" s="6">
        <f>HYPERLINK("https://leetcode.com/problems/maximum-height-by-stacking-cuboids/description/","Solve on LeetCode ↗")</f>
        <v/>
      </c>
      <c r="N185" s="6">
        <f>HYPERLINK("https://github.com/Prateek-5/question-bank/blob/main/DSA/Topics/Dynamic_Programming_DP/learn/Maximum_Height_by_Stacking_Cuboids.md","View Walkthrough ↗")</f>
        <v/>
      </c>
    </row>
    <row r="186">
      <c r="A186" s="2" t="n">
        <v>185</v>
      </c>
      <c r="B186" s="2" t="inlineStr">
        <is>
          <t>Phase 4 · Optimization &amp; Advanced</t>
        </is>
      </c>
      <c r="C186" s="2" t="inlineStr">
        <is>
          <t>🧠 Dynamic Programming (DP)</t>
        </is>
      </c>
      <c r="D186" s="2" t="inlineStr">
        <is>
          <t>String DP — sequences (LIS, LCS family)</t>
        </is>
      </c>
      <c r="E186" s="2" t="n">
        <v>12</v>
      </c>
      <c r="F186" s="3" t="inlineStr">
        <is>
          <t>Must-do</t>
        </is>
      </c>
      <c r="G186" s="2" t="inlineStr">
        <is>
          <t>Longest Common Subsequence</t>
        </is>
      </c>
      <c r="H186" s="4" t="inlineStr">
        <is>
          <t>Classic 2D LCS.</t>
        </is>
      </c>
      <c r="I186" s="2" t="inlineStr">
        <is>
          <t>Not Started</t>
        </is>
      </c>
      <c r="J186" s="2" t="n"/>
      <c r="K186" s="2" t="n"/>
      <c r="L186" s="4" t="n"/>
      <c r="M186" s="6">
        <f>HYPERLINK("https://leetcode.com/problems/longest-common-subsequence/","Solve on LeetCode ↗")</f>
        <v/>
      </c>
      <c r="N186" s="6">
        <f>HYPERLINK("https://github.com/Prateek-5/question-bank/blob/main/DSA/Topics/Dynamic_Programming_DP/learn/Longest_Common_Subsequence.md","View Walkthrough ↗")</f>
        <v/>
      </c>
    </row>
    <row r="187">
      <c r="A187" s="2" t="n">
        <v>186</v>
      </c>
      <c r="B187" s="2" t="inlineStr">
        <is>
          <t>Phase 4 · Optimization &amp; Advanced</t>
        </is>
      </c>
      <c r="C187" s="2" t="inlineStr">
        <is>
          <t>🧠 Dynamic Programming (DP)</t>
        </is>
      </c>
      <c r="D187" s="2" t="inlineStr">
        <is>
          <t>String DP — sequences (LIS, LCS family)</t>
        </is>
      </c>
      <c r="E187" s="2" t="n">
        <v>13</v>
      </c>
      <c r="F187" s="2" t="inlineStr"/>
      <c r="G187" s="2" t="inlineStr">
        <is>
          <t>Longest Palindromic Subsequence</t>
        </is>
      </c>
      <c r="H187" s="4" t="inlineStr">
        <is>
          <t>LCS of `s` with `reverse(s)`.</t>
        </is>
      </c>
      <c r="I187" s="2" t="inlineStr">
        <is>
          <t>Not Started</t>
        </is>
      </c>
      <c r="J187" s="2" t="n"/>
      <c r="K187" s="2" t="n"/>
      <c r="L187" s="4" t="n"/>
      <c r="M187" s="6">
        <f>HYPERLINK("https://leetcode.com/problems/longest-palindromic-subsequence/","Solve on LeetCode ↗")</f>
        <v/>
      </c>
      <c r="N187" s="6">
        <f>HYPERLINK("https://github.com/Prateek-5/question-bank/blob/main/DSA/Topics/Dynamic_Programming_DP/learn/Longest_Palindromic_Subsequence.md","View Walkthrough ↗")</f>
        <v/>
      </c>
    </row>
    <row r="188">
      <c r="A188" s="2" t="n">
        <v>187</v>
      </c>
      <c r="B188" s="2" t="inlineStr">
        <is>
          <t>Phase 4 · Optimization &amp; Advanced</t>
        </is>
      </c>
      <c r="C188" s="2" t="inlineStr">
        <is>
          <t>🧠 Dynamic Programming (DP)</t>
        </is>
      </c>
      <c r="D188" s="2" t="inlineStr">
        <is>
          <t>String DP — matching</t>
        </is>
      </c>
      <c r="E188" s="2" t="n">
        <v>14</v>
      </c>
      <c r="F188" s="3" t="inlineStr">
        <is>
          <t>Must-do</t>
        </is>
      </c>
      <c r="G188" s="2" t="inlineStr">
        <is>
          <t>Edit Distance</t>
        </is>
      </c>
      <c r="H188" s="4" t="inlineStr">
        <is>
          <t>Insert / delete / replace. THE classic.</t>
        </is>
      </c>
      <c r="I188" s="2" t="inlineStr">
        <is>
          <t>Not Started</t>
        </is>
      </c>
      <c r="J188" s="2" t="n"/>
      <c r="K188" s="2" t="n"/>
      <c r="L188" s="4" t="n"/>
      <c r="M188" s="6">
        <f>HYPERLINK("https://leetcode.com/problems/edit-distance/","Solve on LeetCode ↗")</f>
        <v/>
      </c>
      <c r="N188" s="6">
        <f>HYPERLINK("https://github.com/Prateek-5/question-bank/blob/main/DSA/Topics/Dynamic_Programming_DP/learn/Edit_Distance.md","View Walkthrough ↗")</f>
        <v/>
      </c>
    </row>
    <row r="189">
      <c r="A189" s="2" t="n">
        <v>188</v>
      </c>
      <c r="B189" s="2" t="inlineStr">
        <is>
          <t>Phase 4 · Optimization &amp; Advanced</t>
        </is>
      </c>
      <c r="C189" s="2" t="inlineStr">
        <is>
          <t>🧠 Dynamic Programming (DP)</t>
        </is>
      </c>
      <c r="D189" s="2" t="inlineStr">
        <is>
          <t>String DP — matching</t>
        </is>
      </c>
      <c r="E189" s="2" t="n">
        <v>15</v>
      </c>
      <c r="F189" s="2" t="inlineStr"/>
      <c r="G189" s="2" t="inlineStr">
        <is>
          <t>Distinct Subsequences</t>
        </is>
      </c>
      <c r="H189" s="4" t="inlineStr">
        <is>
          <t>Count occurrences.</t>
        </is>
      </c>
      <c r="I189" s="2" t="inlineStr">
        <is>
          <t>Not Started</t>
        </is>
      </c>
      <c r="J189" s="2" t="n"/>
      <c r="K189" s="2" t="n"/>
      <c r="L189" s="4" t="n"/>
      <c r="M189" s="6">
        <f>HYPERLINK("https://leetcode.com/problems/distinct-subsequences/","Solve on LeetCode ↗")</f>
        <v/>
      </c>
      <c r="N189" s="6">
        <f>HYPERLINK("https://github.com/Prateek-5/question-bank/blob/main/DSA/Topics/Dynamic_Programming_DP/learn/Distinct_Subsequences.md","View Walkthrough ↗")</f>
        <v/>
      </c>
    </row>
    <row r="190">
      <c r="A190" s="2" t="n">
        <v>189</v>
      </c>
      <c r="B190" s="2" t="inlineStr">
        <is>
          <t>Phase 4 · Optimization &amp; Advanced</t>
        </is>
      </c>
      <c r="C190" s="2" t="inlineStr">
        <is>
          <t>🧠 Dynamic Programming (DP)</t>
        </is>
      </c>
      <c r="D190" s="2" t="inlineStr">
        <is>
          <t>String DP — matching</t>
        </is>
      </c>
      <c r="E190" s="2" t="n">
        <v>16</v>
      </c>
      <c r="F190" s="3" t="inlineStr">
        <is>
          <t>Must-do</t>
        </is>
      </c>
      <c r="G190" s="2" t="inlineStr">
        <is>
          <t>Decode Ways</t>
        </is>
      </c>
      <c r="H190" s="4" t="inlineStr">
        <is>
          <t>`dp[i] = (single ok ? dp[i-1] : 0) + (double ok ? dp[i-2] : 0)`.</t>
        </is>
      </c>
      <c r="I190" s="2" t="inlineStr">
        <is>
          <t>Not Started</t>
        </is>
      </c>
      <c r="J190" s="2" t="n"/>
      <c r="K190" s="2" t="n"/>
      <c r="L190" s="4" t="n"/>
      <c r="M190" s="6">
        <f>HYPERLINK("https://leetcode.com/problems/decode-ways/","Solve on LeetCode ↗")</f>
        <v/>
      </c>
      <c r="N190" s="6">
        <f>HYPERLINK("https://github.com/Prateek-5/question-bank/blob/main/DSA/Topics/Dynamic_Programming_DP/learn/Decode_Ways.md","View Walkthrough ↗")</f>
        <v/>
      </c>
    </row>
    <row r="191">
      <c r="A191" s="2" t="n">
        <v>190</v>
      </c>
      <c r="B191" s="2" t="inlineStr">
        <is>
          <t>Phase 4 · Optimization &amp; Advanced</t>
        </is>
      </c>
      <c r="C191" s="2" t="inlineStr">
        <is>
          <t>🧠 Dynamic Programming (DP)</t>
        </is>
      </c>
      <c r="D191" s="2" t="inlineStr">
        <is>
          <t>String DP — matching</t>
        </is>
      </c>
      <c r="E191" s="2" t="n">
        <v>17</v>
      </c>
      <c r="F191" s="2" t="inlineStr"/>
      <c r="G191" s="2" t="inlineStr">
        <is>
          <t>Interleaving String</t>
        </is>
      </c>
      <c r="H191" s="4" t="inlineStr">
        <is>
          <t>2D DP from two source strings.</t>
        </is>
      </c>
      <c r="I191" s="2" t="inlineStr">
        <is>
          <t>Not Started</t>
        </is>
      </c>
      <c r="J191" s="2" t="n"/>
      <c r="K191" s="2" t="n"/>
      <c r="L191" s="4" t="n"/>
      <c r="M191" s="6">
        <f>HYPERLINK("https://leetcode.com/problems/interleaving-string/","Solve on LeetCode ↗")</f>
        <v/>
      </c>
      <c r="N191" s="6">
        <f>HYPERLINK("https://github.com/Prateek-5/question-bank/blob/main/DSA/Topics/Dynamic_Programming_DP/learn/Interleaving_String.md","View Walkthrough ↗")</f>
        <v/>
      </c>
    </row>
    <row r="192">
      <c r="A192" s="2" t="n">
        <v>191</v>
      </c>
      <c r="B192" s="2" t="inlineStr">
        <is>
          <t>Phase 4 · Optimization &amp; Advanced</t>
        </is>
      </c>
      <c r="C192" s="2" t="inlineStr">
        <is>
          <t>🧠 Dynamic Programming (DP)</t>
        </is>
      </c>
      <c r="D192" s="2" t="inlineStr">
        <is>
          <t>String DP — matching</t>
        </is>
      </c>
      <c r="E192" s="2" t="n">
        <v>18</v>
      </c>
      <c r="F192" s="2" t="inlineStr"/>
      <c r="G192" s="2" t="inlineStr">
        <is>
          <t>Regular Expression Matching</t>
        </is>
      </c>
      <c r="H192" s="4" t="inlineStr">
        <is>
          <t>`.` and `*` cases. Senior bar.</t>
        </is>
      </c>
      <c r="I192" s="2" t="inlineStr">
        <is>
          <t>Not Started</t>
        </is>
      </c>
      <c r="J192" s="2" t="n"/>
      <c r="K192" s="2" t="n"/>
      <c r="L192" s="4" t="n"/>
      <c r="M192" s="6">
        <f>HYPERLINK("https://leetcode.com/problems/regular-expression-matching/","Solve on LeetCode ↗")</f>
        <v/>
      </c>
      <c r="N192" s="6">
        <f>HYPERLINK("https://github.com/Prateek-5/question-bank/blob/main/DSA/Topics/Dynamic_Programming_DP/learn/Regular_Expression_Matching.md","View Walkthrough ↗")</f>
        <v/>
      </c>
    </row>
    <row r="193">
      <c r="A193" s="2" t="n">
        <v>192</v>
      </c>
      <c r="B193" s="2" t="inlineStr">
        <is>
          <t>Phase 4 · Optimization &amp; Advanced</t>
        </is>
      </c>
      <c r="C193" s="2" t="inlineStr">
        <is>
          <t>🧠 Dynamic Programming (DP)</t>
        </is>
      </c>
      <c r="D193" s="2" t="inlineStr">
        <is>
          <t>String DP — matching</t>
        </is>
      </c>
      <c r="E193" s="2" t="n">
        <v>19</v>
      </c>
      <c r="F193" s="2" t="inlineStr"/>
      <c r="G193" s="2" t="inlineStr">
        <is>
          <t>Frog Jump</t>
        </is>
      </c>
      <c r="H193" s="4" t="inlineStr">
        <is>
          <t>State `(stone, last_jump)`; map of stone → reachable jumps.</t>
        </is>
      </c>
      <c r="I193" s="2" t="inlineStr">
        <is>
          <t>Not Started</t>
        </is>
      </c>
      <c r="J193" s="2" t="n"/>
      <c r="K193" s="2" t="n"/>
      <c r="L193" s="4" t="n"/>
      <c r="M193" s="6">
        <f>HYPERLINK("https://leetcode.com/problems/frog-jump/","Solve on LeetCode ↗")</f>
        <v/>
      </c>
      <c r="N193" s="6">
        <f>HYPERLINK("https://github.com/Prateek-5/question-bank/blob/main/DSA/Topics/Dynamic_Programming_DP/learn/Frog_Jump.md","View Walkthrough ↗")</f>
        <v/>
      </c>
    </row>
    <row r="194">
      <c r="A194" s="2" t="n">
        <v>193</v>
      </c>
      <c r="B194" s="2" t="inlineStr">
        <is>
          <t>Phase 4 · Optimization &amp; Advanced</t>
        </is>
      </c>
      <c r="C194" s="2" t="inlineStr">
        <is>
          <t>🧠 Dynamic Programming (DP)</t>
        </is>
      </c>
      <c r="D194" s="2" t="inlineStr">
        <is>
          <t>Knapsack</t>
        </is>
      </c>
      <c r="E194" s="2" t="n">
        <v>20</v>
      </c>
      <c r="F194" s="3" t="inlineStr">
        <is>
          <t>Must-do</t>
        </is>
      </c>
      <c r="G194" s="2" t="inlineStr">
        <is>
          <t>Partition Equal Subset Sum</t>
        </is>
      </c>
      <c r="H194" s="4" t="inlineStr">
        <is>
          <t>0/1 knapsack with target = sum/2.</t>
        </is>
      </c>
      <c r="I194" s="2" t="inlineStr">
        <is>
          <t>Not Started</t>
        </is>
      </c>
      <c r="J194" s="2" t="n"/>
      <c r="K194" s="2" t="n"/>
      <c r="L194" s="4" t="n"/>
      <c r="M194" s="6">
        <f>HYPERLINK("https://leetcode.com/problems/partition-equal-subset-sum/","Solve on LeetCode ↗")</f>
        <v/>
      </c>
      <c r="N194" s="6">
        <f>HYPERLINK("https://github.com/Prateek-5/question-bank/blob/main/DSA/Topics/Dynamic_Programming_DP/learn/Partition_Equal_Subset_Sum.md","View Walkthrough ↗")</f>
        <v/>
      </c>
    </row>
    <row r="195">
      <c r="A195" s="2" t="n">
        <v>194</v>
      </c>
      <c r="B195" s="2" t="inlineStr">
        <is>
          <t>Phase 4 · Optimization &amp; Advanced</t>
        </is>
      </c>
      <c r="C195" s="2" t="inlineStr">
        <is>
          <t>🧠 Dynamic Programming (DP)</t>
        </is>
      </c>
      <c r="D195" s="2" t="inlineStr">
        <is>
          <t>Knapsack</t>
        </is>
      </c>
      <c r="E195" s="2" t="n">
        <v>21</v>
      </c>
      <c r="F195" s="2" t="inlineStr"/>
      <c r="G195" s="2" t="inlineStr">
        <is>
          <t>Ones and Zeroes</t>
        </is>
      </c>
      <c r="H195" s="4" t="inlineStr">
        <is>
          <t>2D knapsack (m zeros, n ones budget).</t>
        </is>
      </c>
      <c r="I195" s="2" t="inlineStr">
        <is>
          <t>Not Started</t>
        </is>
      </c>
      <c r="J195" s="2" t="n"/>
      <c r="K195" s="2" t="n"/>
      <c r="L195" s="4" t="n"/>
      <c r="M195" s="6">
        <f>HYPERLINK("https://leetcode.com/problems/ones-and-zeroes/","Solve on LeetCode ↗")</f>
        <v/>
      </c>
      <c r="N195" s="6">
        <f>HYPERLINK("https://github.com/Prateek-5/question-bank/blob/main/DSA/Topics/Dynamic_Programming_DP/learn/Ones_and_Zeroes.md","View Walkthrough ↗")</f>
        <v/>
      </c>
    </row>
    <row r="196">
      <c r="A196" s="2" t="n">
        <v>195</v>
      </c>
      <c r="B196" s="2" t="inlineStr">
        <is>
          <t>Phase 4 · Optimization &amp; Advanced</t>
        </is>
      </c>
      <c r="C196" s="2" t="inlineStr">
        <is>
          <t>🧠 Dynamic Programming (DP)</t>
        </is>
      </c>
      <c r="D196" s="2" t="inlineStr">
        <is>
          <t>Knapsack</t>
        </is>
      </c>
      <c r="E196" s="2" t="n">
        <v>22</v>
      </c>
      <c r="F196" s="2" t="inlineStr"/>
      <c r="G196" s="2" t="inlineStr">
        <is>
          <t>Split Array with Same Average</t>
        </is>
      </c>
      <c r="H196" s="4" t="inlineStr">
        <is>
          <t>Subset with average; bitmask DP.</t>
        </is>
      </c>
      <c r="I196" s="2" t="inlineStr">
        <is>
          <t>Not Started</t>
        </is>
      </c>
      <c r="J196" s="2" t="n"/>
      <c r="K196" s="2" t="n"/>
      <c r="L196" s="4" t="n"/>
      <c r="M196" s="6">
        <f>HYPERLINK("https://leetcode.com/problems/split-array-with-same-average/","Solve on LeetCode ↗")</f>
        <v/>
      </c>
      <c r="N196" s="6">
        <f>HYPERLINK("https://github.com/Prateek-5/question-bank/blob/main/DSA/Topics/Dynamic_Programming_DP/learn/Split_Array_with_Same_Average.md","View Walkthrough ↗")</f>
        <v/>
      </c>
    </row>
    <row r="197">
      <c r="A197" s="2" t="n">
        <v>196</v>
      </c>
      <c r="B197" s="2" t="inlineStr">
        <is>
          <t>Phase 4 · Optimization &amp; Advanced</t>
        </is>
      </c>
      <c r="C197" s="2" t="inlineStr">
        <is>
          <t>🧠 Dynamic Programming (DP)</t>
        </is>
      </c>
      <c r="D197" s="2" t="inlineStr">
        <is>
          <t>Knapsack</t>
        </is>
      </c>
      <c r="E197" s="2" t="n">
        <v>23</v>
      </c>
      <c r="F197" s="2" t="inlineStr"/>
      <c r="G197" s="2" t="inlineStr">
        <is>
          <t>Minimum Jumps to Reach Home</t>
        </is>
      </c>
      <c r="H197" s="4" t="inlineStr">
        <is>
          <t>State-rich BFS/DP hybrid.</t>
        </is>
      </c>
      <c r="I197" s="2" t="inlineStr">
        <is>
          <t>Not Started</t>
        </is>
      </c>
      <c r="J197" s="2" t="n"/>
      <c r="K197" s="2" t="n"/>
      <c r="L197" s="4" t="n"/>
      <c r="M197" s="6">
        <f>HYPERLINK("https://leetcode.com/problems/minimum-jumps-to-reach-home/description/","Solve on LeetCode ↗")</f>
        <v/>
      </c>
      <c r="N197" s="6">
        <f>HYPERLINK("https://github.com/Prateek-5/question-bank/blob/main/DSA/Topics/Dynamic_Programming_DP/learn/Minimum_Jumps_to_Reach_Home.md","View Walkthrough ↗")</f>
        <v/>
      </c>
    </row>
    <row r="198">
      <c r="A198" s="2" t="n">
        <v>197</v>
      </c>
      <c r="B198" s="2" t="inlineStr">
        <is>
          <t>Phase 4 · Optimization &amp; Advanced</t>
        </is>
      </c>
      <c r="C198" s="2" t="inlineStr">
        <is>
          <t>🧠 Dynamic Programming (DP)</t>
        </is>
      </c>
      <c r="D198" s="2" t="inlineStr">
        <is>
          <t>Interval DP</t>
        </is>
      </c>
      <c r="E198" s="2" t="n">
        <v>24</v>
      </c>
      <c r="F198" s="3" t="inlineStr">
        <is>
          <t>Must-do</t>
        </is>
      </c>
      <c r="G198" s="2" t="inlineStr">
        <is>
          <t>Matrix Chain Multiplication</t>
        </is>
      </c>
      <c r="H198" s="4" t="inlineStr">
        <is>
          <t>`dp[i][j]` = min cost over range.</t>
        </is>
      </c>
      <c r="I198" s="2" t="inlineStr">
        <is>
          <t>Not Started</t>
        </is>
      </c>
      <c r="J198" s="2" t="n"/>
      <c r="K198" s="2" t="n"/>
      <c r="L198" s="4" t="n"/>
      <c r="M198" s="6">
        <f>HYPERLINK("https://practice.geeksforgeeks.org/problems/matrix-chain-multiplication0303/1","Solve on LeetCode ↗")</f>
        <v/>
      </c>
      <c r="N198" s="6">
        <f>HYPERLINK("https://github.com/Prateek-5/question-bank/blob/main/DSA/Topics/Dynamic_Programming_DP/learn/Matrix_Chain_Multiplication.md","View Walkthrough ↗")</f>
        <v/>
      </c>
    </row>
    <row r="199">
      <c r="A199" s="2" t="n">
        <v>198</v>
      </c>
      <c r="B199" s="2" t="inlineStr">
        <is>
          <t>Phase 4 · Optimization &amp; Advanced</t>
        </is>
      </c>
      <c r="C199" s="2" t="inlineStr">
        <is>
          <t>🧠 Dynamic Programming (DP)</t>
        </is>
      </c>
      <c r="D199" s="2" t="inlineStr">
        <is>
          <t>Interval DP</t>
        </is>
      </c>
      <c r="E199" s="2" t="n">
        <v>25</v>
      </c>
      <c r="F199" s="2" t="inlineStr"/>
      <c r="G199" s="2" t="inlineStr">
        <is>
          <t>Unique Binary Search Trees</t>
        </is>
      </c>
      <c r="H199" s="4" t="inlineStr">
        <is>
          <t>Catalan-style interval DP.</t>
        </is>
      </c>
      <c r="I199" s="2" t="inlineStr">
        <is>
          <t>Not Started</t>
        </is>
      </c>
      <c r="J199" s="2" t="n"/>
      <c r="K199" s="2" t="n"/>
      <c r="L199" s="4" t="n"/>
      <c r="M199" s="6">
        <f>HYPERLINK("https://leetcode.com/problems/unique-binary-search-trees/","Solve on LeetCode ↗")</f>
        <v/>
      </c>
      <c r="N199" s="6">
        <f>HYPERLINK("https://github.com/Prateek-5/question-bank/blob/main/DSA/Topics/Dynamic_Programming_DP/learn/Unique_Binary_Search_Trees.md","View Walkthrough ↗")</f>
        <v/>
      </c>
    </row>
    <row r="200">
      <c r="A200" s="2" t="n">
        <v>199</v>
      </c>
      <c r="B200" s="2" t="inlineStr">
        <is>
          <t>Phase 4 · Optimization &amp; Advanced</t>
        </is>
      </c>
      <c r="C200" s="2" t="inlineStr">
        <is>
          <t>🧠 Dynamic Programming (DP)</t>
        </is>
      </c>
      <c r="D200" s="2" t="inlineStr">
        <is>
          <t>Hybrid / advanced</t>
        </is>
      </c>
      <c r="E200" s="2" t="n">
        <v>26</v>
      </c>
      <c r="F200" s="3" t="inlineStr">
        <is>
          <t>Must-do</t>
        </is>
      </c>
      <c r="G200" s="2" t="inlineStr">
        <is>
          <t>Maximal Rectangle</t>
        </is>
      </c>
      <c r="H200" s="4" t="inlineStr">
        <is>
          <t>DP + Largest Rectangle in Histogram (stack).</t>
        </is>
      </c>
      <c r="I200" s="2" t="inlineStr">
        <is>
          <t>Not Started</t>
        </is>
      </c>
      <c r="J200" s="2" t="n"/>
      <c r="K200" s="2" t="n"/>
      <c r="L200" s="4" t="n"/>
      <c r="M200" s="6">
        <f>HYPERLINK("https://leetcode.com/problems/maximal-rectangle/","Solve on LeetCode ↗")</f>
        <v/>
      </c>
      <c r="N200" s="6">
        <f>HYPERLINK("https://github.com/Prateek-5/question-bank/blob/main/DSA/Topics/Dynamic_Programming_DP/learn/Maximal_Rectangle.md","View Walkthrough ↗")</f>
        <v/>
      </c>
    </row>
    <row r="201">
      <c r="A201" s="2" t="n">
        <v>200</v>
      </c>
      <c r="B201" s="2" t="inlineStr">
        <is>
          <t>Phase 4 · Optimization &amp; Advanced</t>
        </is>
      </c>
      <c r="C201" s="2" t="inlineStr">
        <is>
          <t>🧠 Dynamic Programming (DP)</t>
        </is>
      </c>
      <c r="D201" s="2" t="inlineStr">
        <is>
          <t>Hybrid / advanced</t>
        </is>
      </c>
      <c r="E201" s="2" t="n">
        <v>27</v>
      </c>
      <c r="F201" s="2" t="inlineStr"/>
      <c r="G201" s="2" t="inlineStr">
        <is>
          <t>Dungeon Game</t>
        </is>
      </c>
      <c r="H201" s="4" t="inlineStr">
        <is>
          <t>**Reverse DP** from bottom-right. Senior bar.</t>
        </is>
      </c>
      <c r="I201" s="2" t="inlineStr">
        <is>
          <t>Not Started</t>
        </is>
      </c>
      <c r="J201" s="2" t="n"/>
      <c r="K201" s="2" t="n"/>
      <c r="L201" s="4" t="n"/>
      <c r="M201" s="6">
        <f>HYPERLINK("https://leetcode.com/problems/dungeon-game/","Solve on LeetCode ↗")</f>
        <v/>
      </c>
      <c r="N201" s="6">
        <f>HYPERLINK("https://github.com/Prateek-5/question-bank/blob/main/DSA/Topics/Dynamic_Programming_DP/learn/Dungeon_Game.md","View Walkthrough ↗")</f>
        <v/>
      </c>
    </row>
    <row r="202">
      <c r="A202" s="2" t="n">
        <v>201</v>
      </c>
      <c r="B202" s="2" t="inlineStr">
        <is>
          <t>Phase 4 · Optimization &amp; Advanced</t>
        </is>
      </c>
      <c r="C202" s="2" t="inlineStr">
        <is>
          <t>🧠 Dynamic Programming (DP)</t>
        </is>
      </c>
      <c r="D202" s="2" t="inlineStr">
        <is>
          <t>Digit DP</t>
        </is>
      </c>
      <c r="E202" s="2" t="n">
        <v>28</v>
      </c>
      <c r="F202" s="2" t="inlineStr"/>
      <c r="G202" s="2" t="inlineStr">
        <is>
          <t>Numbers at Most N Given Digit Set</t>
        </is>
      </c>
      <c r="H202" s="4" t="inlineStr">
        <is>
          <t>Digit-DP template. Senior bar.</t>
        </is>
      </c>
      <c r="I202" s="2" t="inlineStr">
        <is>
          <t>Not Started</t>
        </is>
      </c>
      <c r="J202" s="2" t="n"/>
      <c r="K202" s="2" t="n"/>
      <c r="L202" s="4" t="n"/>
      <c r="M202" s="6">
        <f>HYPERLINK("https://leetcode.com/problems/numbers-at-most-n-given-digit-set/","Solve on LeetCode ↗")</f>
        <v/>
      </c>
      <c r="N202" s="6">
        <f>HYPERLINK("https://github.com/Prateek-5/question-bank/blob/main/DSA/Topics/Dynamic_Programming_DP/learn/Numbers_at_Most_N_Given_Digit_Set.md","View Walkthrough ↗")</f>
        <v/>
      </c>
    </row>
    <row r="203">
      <c r="A203" s="2" t="n">
        <v>202</v>
      </c>
      <c r="B203" s="2" t="inlineStr">
        <is>
          <t>Phase 4 · Optimization &amp; Advanced</t>
        </is>
      </c>
      <c r="C203" s="2" t="inlineStr">
        <is>
          <t>📐 Segment Tree / Range Queries</t>
        </is>
      </c>
      <c r="D203" s="2" t="inlineStr">
        <is>
          <t>Warm-up — prefix sum (no updates needed)</t>
        </is>
      </c>
      <c r="E203" s="2" t="n">
        <v>1</v>
      </c>
      <c r="F203" s="3" t="inlineStr">
        <is>
          <t>Must-do</t>
        </is>
      </c>
      <c r="G203" s="2" t="inlineStr">
        <is>
          <t>Range Sum Query Immutable</t>
        </is>
      </c>
      <c r="H203" s="4" t="inlineStr">
        <is>
          <t>Prefix-sum array; range query O(1). No segment tree needed.</t>
        </is>
      </c>
      <c r="I203" s="2" t="inlineStr">
        <is>
          <t>Not Started</t>
        </is>
      </c>
      <c r="J203" s="2" t="n"/>
      <c r="K203" s="2" t="n"/>
      <c r="L203" s="4" t="n"/>
      <c r="M203" s="6">
        <f>HYPERLINK("https://leetcode.com/problems/range-sum-query-immutable/","Solve on LeetCode ↗")</f>
        <v/>
      </c>
      <c r="N203" s="6">
        <f>HYPERLINK("https://github.com/Prateek-5/question-bank/blob/main/DSA/Topics/Segment_Tree_Range_Queries/learn/Range_Sum_Query_Immutable.md","View Walkthrough ↗")</f>
        <v/>
      </c>
    </row>
    <row r="204">
      <c r="A204" s="2" t="n">
        <v>203</v>
      </c>
      <c r="B204" s="2" t="inlineStr">
        <is>
          <t>Phase 4 · Optimization &amp; Advanced</t>
        </is>
      </c>
      <c r="C204" s="2" t="inlineStr">
        <is>
          <t>📐 Segment Tree / Range Queries</t>
        </is>
      </c>
      <c r="D204" s="2" t="inlineStr">
        <is>
          <t>Segment tree — sum</t>
        </is>
      </c>
      <c r="E204" s="2" t="n">
        <v>2</v>
      </c>
      <c r="F204" s="3" t="inlineStr">
        <is>
          <t>Must-do</t>
        </is>
      </c>
      <c r="G204" s="2" t="inlineStr">
        <is>
          <t>Range Sum Query Mutable</t>
        </is>
      </c>
      <c r="H204" s="4" t="inlineStr">
        <is>
          <t>Segment tree (or Fenwick/BIT). Build, update, query all O(log n).</t>
        </is>
      </c>
      <c r="I204" s="2" t="inlineStr">
        <is>
          <t>Not Started</t>
        </is>
      </c>
      <c r="J204" s="2" t="n"/>
      <c r="K204" s="2" t="n"/>
      <c r="L204" s="4" t="n"/>
      <c r="M204" s="6">
        <f>HYPERLINK("https://leetcode.com/problems/range-sum-query-mutable/","Solve on LeetCode ↗")</f>
        <v/>
      </c>
      <c r="N204" s="6">
        <f>HYPERLINK("https://github.com/Prateek-5/question-bank/blob/main/DSA/Topics/Segment_Tree_Range_Queries/learn/Range_Sum_Query_Mutable.md","View Walkthrough ↗")</f>
        <v/>
      </c>
    </row>
    <row r="205">
      <c r="A205" s="2" t="n">
        <v>204</v>
      </c>
      <c r="B205" s="2" t="inlineStr">
        <is>
          <t>Phase 4 · Optimization &amp; Advanced</t>
        </is>
      </c>
      <c r="C205" s="2" t="inlineStr">
        <is>
          <t>📐 Segment Tree / Range Queries</t>
        </is>
      </c>
      <c r="D205" s="2" t="inlineStr">
        <is>
          <t>Segment tree — max</t>
        </is>
      </c>
      <c r="E205" s="2" t="n">
        <v>3</v>
      </c>
      <c r="F205" s="3" t="inlineStr">
        <is>
          <t>Must-do</t>
        </is>
      </c>
      <c r="G205" s="2" t="inlineStr">
        <is>
          <t>Range Maximum Query</t>
        </is>
      </c>
      <c r="H205" s="4" t="inlineStr">
        <is>
          <t>Same shape; `max` instead of `sum`.</t>
        </is>
      </c>
      <c r="I205" s="2" t="inlineStr">
        <is>
          <t>Not Started</t>
        </is>
      </c>
      <c r="J205" s="2" t="n"/>
      <c r="K205" s="2" t="n"/>
      <c r="L205" s="4" t="n"/>
      <c r="M205" s="6">
        <f>HYPERLINK("https://leetcode.com/problems/range-maximum-query-2d-immutable/","Solve on LeetCode ↗")</f>
        <v/>
      </c>
      <c r="N205" s="6">
        <f>HYPERLINK("https://github.com/Prateek-5/question-bank/blob/main/DSA/Topics/Segment_Tree_Range_Queries/learn/Range_Maximum_Query.md","View Walkthrough ↗")</f>
        <v/>
      </c>
    </row>
    <row r="206">
      <c r="A206" s="2" t="n">
        <v>205</v>
      </c>
      <c r="B206" s="2" t="inlineStr">
        <is>
          <t>Phase 4 · Optimization &amp; Advanced</t>
        </is>
      </c>
      <c r="C206" s="2" t="inlineStr">
        <is>
          <t>📐 Segment Tree / Range Queries</t>
        </is>
      </c>
      <c r="D206" s="2" t="inlineStr">
        <is>
          <t>Segment tree — max</t>
        </is>
      </c>
      <c r="E206" s="2" t="n">
        <v>4</v>
      </c>
      <c r="F206" s="2" t="inlineStr"/>
      <c r="G206" s="2" t="inlineStr">
        <is>
          <t>Segment Tree Range Maximum Query Node Update</t>
        </is>
      </c>
      <c r="H206" s="4" t="inlineStr">
        <is>
          <t>Companion with point updates.</t>
        </is>
      </c>
      <c r="I206" s="2" t="inlineStr">
        <is>
          <t>Not Started</t>
        </is>
      </c>
      <c r="J206" s="2" t="n"/>
      <c r="K206" s="2" t="n"/>
      <c r="L206" s="4" t="n"/>
      <c r="M206" s="6">
        <f>HYPERLINK("https://www.geeksforgeeks.org/dsa/segment-tree-set-2-range-maximum-query-node-update/","Solve on LeetCode ↗")</f>
        <v/>
      </c>
      <c r="N206" s="6">
        <f>HYPERLINK("https://github.com/Prateek-5/question-bank/blob/main/DSA/Topics/Segment_Tree_Range_Queries/learn/Segment_Tree_Range_Maximum_Query_Node_Update.md","View Walkthrough ↗")</f>
        <v/>
      </c>
    </row>
    <row r="207">
      <c r="A207" s="2" t="n">
        <v>206</v>
      </c>
      <c r="B207" s="2" t="inlineStr">
        <is>
          <t>Phase 4 · Optimization &amp; Advanced</t>
        </is>
      </c>
      <c r="C207" s="2" t="inlineStr">
        <is>
          <t>📐 Segment Tree / Range Queries</t>
        </is>
      </c>
      <c r="D207" s="2" t="inlineStr">
        <is>
          <t>Lazy propagation</t>
        </is>
      </c>
      <c r="E207" s="2" t="n">
        <v>5</v>
      </c>
      <c r="F207" s="2" t="inlineStr"/>
      <c r="G207" s="2" t="inlineStr">
        <is>
          <t>Flipping Sign Problem Lazy Propagation</t>
        </is>
      </c>
      <c r="H207" s="4" t="inlineStr">
        <is>
          <t>Range flip; defer propagation. The hard one.</t>
        </is>
      </c>
      <c r="I207" s="2" t="inlineStr">
        <is>
          <t>Not Started</t>
        </is>
      </c>
      <c r="J207" s="2" t="n"/>
      <c r="K207" s="2" t="n"/>
      <c r="L207" s="4" t="n"/>
      <c r="M207" s="6">
        <f>HYPERLINK("https://www.geeksforgeeks.org/dsa/flipping-sign-problem-lazy-propagation-segment-tree/","Solve on LeetCode ↗")</f>
        <v/>
      </c>
      <c r="N207" s="6">
        <f>HYPERLINK("https://github.com/Prateek-5/question-bank/blob/main/DSA/Topics/Segment_Tree_Range_Queries/learn/Flipping_Sign_Problem_Lazy_Propagation.md","View Walkthrough ↗")</f>
        <v/>
      </c>
    </row>
    <row r="208">
      <c r="A208" s="2" t="n">
        <v>207</v>
      </c>
      <c r="B208" s="2" t="inlineStr">
        <is>
          <t>Phase 4 · Optimization &amp; Advanced</t>
        </is>
      </c>
      <c r="C208" s="2" t="inlineStr">
        <is>
          <t>📐 Segment Tree / Range Queries</t>
        </is>
      </c>
      <c r="D208" s="2" t="inlineStr">
        <is>
          <t>Lazy propagation</t>
        </is>
      </c>
      <c r="E208" s="2" t="n">
        <v>6</v>
      </c>
      <c r="F208" s="2" t="inlineStr"/>
      <c r="G208" s="2" t="inlineStr">
        <is>
          <t>Flipping Sign Problem Lazy Propagation Segment Tree</t>
        </is>
      </c>
      <c r="H208" s="4" t="inlineStr">
        <is>
          <t>Companion / variant.</t>
        </is>
      </c>
      <c r="I208" s="2" t="inlineStr">
        <is>
          <t>Not Started</t>
        </is>
      </c>
      <c r="J208" s="2" t="n"/>
      <c r="K208" s="2" t="n"/>
      <c r="L208" s="4" t="n"/>
      <c r="M208" s="6">
        <f>HYPERLINK("https://www.geeksforgeeks.org/dsa/flipping-sign-problem-lazy-propagation-segment-tree/","Solve on LeetCode ↗")</f>
        <v/>
      </c>
      <c r="N208" s="6">
        <f>HYPERLINK("https://github.com/Prateek-5/question-bank/blob/main/DSA/Topics/Segment_Tree_Range_Queries/learn/Flipping_Sign_Problem_Lazy_Propagation_Segment_Tree.md","View Walkthrough ↗")</f>
        <v/>
      </c>
    </row>
    <row r="209">
      <c r="A209" s="2" t="n">
        <v>208</v>
      </c>
      <c r="B209" s="2" t="inlineStr">
        <is>
          <t>Phase 4 · Optimization &amp; Advanced</t>
        </is>
      </c>
      <c r="C209" s="2" t="inlineStr">
        <is>
          <t>🔢 Number Theory / Misc</t>
        </is>
      </c>
      <c r="D209" s="2" t="inlineStr">
        <is>
          <t>Easy observation — warm-ups</t>
        </is>
      </c>
      <c r="E209" s="2" t="n">
        <v>1</v>
      </c>
      <c r="F209" s="2" t="inlineStr"/>
      <c r="G209" s="2" t="inlineStr">
        <is>
          <t>Self Dividing Numbers</t>
        </is>
      </c>
      <c r="H209" s="4" t="inlineStr">
        <is>
          <t>Digit check; brute force.</t>
        </is>
      </c>
      <c r="I209" s="2" t="inlineStr">
        <is>
          <t>Not Started</t>
        </is>
      </c>
      <c r="J209" s="2" t="n"/>
      <c r="K209" s="2" t="n"/>
      <c r="L209" s="4" t="n"/>
      <c r="M209" s="6">
        <f>HYPERLINK("https://leetcode.com/problems/self-dividing-numbers/","Solve on LeetCode ↗")</f>
        <v/>
      </c>
      <c r="N209" s="6">
        <f>HYPERLINK("https://github.com/Prateek-5/question-bank/blob/main/DSA/Topics/Number_Theory_Misc/learn/Self_Dividing_Numbers.md","View Walkthrough ↗")</f>
        <v/>
      </c>
    </row>
    <row r="210">
      <c r="A210" s="2" t="n">
        <v>209</v>
      </c>
      <c r="B210" s="2" t="inlineStr">
        <is>
          <t>Phase 4 · Optimization &amp; Advanced</t>
        </is>
      </c>
      <c r="C210" s="2" t="inlineStr">
        <is>
          <t>🔢 Number Theory / Misc</t>
        </is>
      </c>
      <c r="D210" s="2" t="inlineStr">
        <is>
          <t>Easy observation — warm-ups</t>
        </is>
      </c>
      <c r="E210" s="2" t="n">
        <v>2</v>
      </c>
      <c r="F210" s="2" t="inlineStr"/>
      <c r="G210" s="2" t="inlineStr">
        <is>
          <t>Lucky Numbers in a Matrix</t>
        </is>
      </c>
      <c r="H210" s="4" t="inlineStr">
        <is>
          <t>Row-min, col-max intersection.</t>
        </is>
      </c>
      <c r="I210" s="2" t="inlineStr">
        <is>
          <t>Not Started</t>
        </is>
      </c>
      <c r="J210" s="2" t="n"/>
      <c r="K210" s="2" t="n"/>
      <c r="L210" s="4" t="n"/>
      <c r="M210" s="6">
        <f>HYPERLINK("https://leetcode.com/problems/lucky-numbers-in-a-matrix/description/","Solve on LeetCode ↗")</f>
        <v/>
      </c>
      <c r="N210" s="6">
        <f>HYPERLINK("https://github.com/Prateek-5/question-bank/blob/main/DSA/Topics/Number_Theory_Misc/learn/Lucky_Numbers_in_a_Matrix.md","View Walkthrough ↗")</f>
        <v/>
      </c>
    </row>
    <row r="211">
      <c r="A211" s="2" t="n">
        <v>210</v>
      </c>
      <c r="B211" s="2" t="inlineStr">
        <is>
          <t>Phase 4 · Optimization &amp; Advanced</t>
        </is>
      </c>
      <c r="C211" s="2" t="inlineStr">
        <is>
          <t>🔢 Number Theory / Misc</t>
        </is>
      </c>
      <c r="D211" s="2" t="inlineStr">
        <is>
          <t>Easy observation — warm-ups</t>
        </is>
      </c>
      <c r="E211" s="2" t="n">
        <v>3</v>
      </c>
      <c r="F211" s="2" t="inlineStr"/>
      <c r="G211" s="2" t="inlineStr">
        <is>
          <t>Subtract Product and Sum of Digits</t>
        </is>
      </c>
      <c r="H211" s="4" t="inlineStr">
        <is>
          <t>Two passes over digits.</t>
        </is>
      </c>
      <c r="I211" s="2" t="inlineStr">
        <is>
          <t>Not Started</t>
        </is>
      </c>
      <c r="J211" s="2" t="n"/>
      <c r="K211" s="2" t="n"/>
      <c r="L211" s="4" t="n"/>
      <c r="M211" s="6">
        <f>HYPERLINK("https://leetcode.com/problems/subtract-the-product-and-sum-of-digits-of-an-integer/","Solve on LeetCode ↗")</f>
        <v/>
      </c>
      <c r="N211" s="6">
        <f>HYPERLINK("https://github.com/Prateek-5/question-bank/blob/main/DSA/Topics/Number_Theory_Misc/learn/Subtract_Product_and_Sum_of_Digits.md","View Walkthrough ↗")</f>
        <v/>
      </c>
    </row>
    <row r="212">
      <c r="A212" s="2" t="n">
        <v>211</v>
      </c>
      <c r="B212" s="2" t="inlineStr">
        <is>
          <t>Phase 4 · Optimization &amp; Advanced</t>
        </is>
      </c>
      <c r="C212" s="2" t="inlineStr">
        <is>
          <t>🔢 Number Theory / Misc</t>
        </is>
      </c>
      <c r="D212" s="2" t="inlineStr">
        <is>
          <t>Easy observation — warm-ups</t>
        </is>
      </c>
      <c r="E212" s="2" t="n">
        <v>4</v>
      </c>
      <c r="F212" s="3" t="inlineStr">
        <is>
          <t>Must-do</t>
        </is>
      </c>
      <c r="G212" s="2" t="inlineStr">
        <is>
          <t>Number of Good Pairs</t>
        </is>
      </c>
      <c r="H212" s="4" t="inlineStr">
        <is>
          <t>`count * (count - 1) / 2` per frequency. (the combinatorial reflex)</t>
        </is>
      </c>
      <c r="I212" s="2" t="inlineStr">
        <is>
          <t>Not Started</t>
        </is>
      </c>
      <c r="J212" s="2" t="n"/>
      <c r="K212" s="2" t="n"/>
      <c r="L212" s="4" t="n"/>
      <c r="M212" s="6">
        <f>HYPERLINK("https://leetcode.com/problems/number-of-good-pairs/","Solve on LeetCode ↗")</f>
        <v/>
      </c>
      <c r="N212" s="6">
        <f>HYPERLINK("https://github.com/Prateek-5/question-bank/blob/main/DSA/Topics/Number_Theory_Misc/learn/Number_of_Good_Pairs.md","View Walkthrough ↗")</f>
        <v/>
      </c>
    </row>
    <row r="213">
      <c r="A213" s="2" t="n">
        <v>212</v>
      </c>
      <c r="B213" s="2" t="inlineStr">
        <is>
          <t>Phase 4 · Optimization &amp; Advanced</t>
        </is>
      </c>
      <c r="C213" s="2" t="inlineStr">
        <is>
          <t>🔢 Number Theory / Misc</t>
        </is>
      </c>
      <c r="D213" s="2" t="inlineStr">
        <is>
          <t>Easy observation — warm-ups</t>
        </is>
      </c>
      <c r="E213" s="2" t="n">
        <v>5</v>
      </c>
      <c r="F213" s="2" t="inlineStr"/>
      <c r="G213" s="2" t="inlineStr">
        <is>
          <t>Max Consecutive Ones</t>
        </is>
      </c>
      <c r="H213" s="4" t="inlineStr">
        <is>
          <t>Single pass; running count.</t>
        </is>
      </c>
      <c r="I213" s="2" t="inlineStr">
        <is>
          <t>Not Started</t>
        </is>
      </c>
      <c r="J213" s="2" t="n"/>
      <c r="K213" s="2" t="n"/>
      <c r="L213" s="4" t="n"/>
      <c r="M213" s="6">
        <f>HYPERLINK("https://leetcode.com/problems/max-consecutive-ones/","Solve on LeetCode ↗")</f>
        <v/>
      </c>
      <c r="N213" s="6">
        <f>HYPERLINK("https://github.com/Prateek-5/question-bank/blob/main/DSA/Topics/Number_Theory_Misc/learn/Max_Consecutive_Ones.md","View Walkthrough ↗")</f>
        <v/>
      </c>
    </row>
    <row r="214">
      <c r="A214" s="2" t="n">
        <v>213</v>
      </c>
      <c r="B214" s="2" t="inlineStr">
        <is>
          <t>Phase 4 · Optimization &amp; Advanced</t>
        </is>
      </c>
      <c r="C214" s="2" t="inlineStr">
        <is>
          <t>🔢 Number Theory / Misc</t>
        </is>
      </c>
      <c r="D214" s="2" t="inlineStr">
        <is>
          <t>Easy observation — warm-ups</t>
        </is>
      </c>
      <c r="E214" s="2" t="n">
        <v>6</v>
      </c>
      <c r="F214" s="2" t="inlineStr"/>
      <c r="G214" s="2" t="inlineStr">
        <is>
          <t>Number of Open Doors</t>
        </is>
      </c>
      <c r="H214" s="4" t="inlineStr">
        <is>
          <t>Square-numbers observation (like Bulb Switcher).</t>
        </is>
      </c>
      <c r="I214" s="2" t="inlineStr">
        <is>
          <t>Not Started</t>
        </is>
      </c>
      <c r="J214" s="2" t="n"/>
      <c r="K214" s="2" t="n"/>
      <c r="L214" s="4" t="n"/>
      <c r="M214" s="6">
        <f>HYPERLINK("https://www.geeksforgeeks.org/problems/number-of-open-doors1552/1","Solve on LeetCode ↗")</f>
        <v/>
      </c>
      <c r="N214" s="6">
        <f>HYPERLINK("https://github.com/Prateek-5/question-bank/blob/main/DSA/Topics/Number_Theory_Misc/learn/Number_of_Open_Doors.md","View Walkthrough ↗")</f>
        <v/>
      </c>
    </row>
    <row r="215">
      <c r="A215" s="2" t="n">
        <v>214</v>
      </c>
      <c r="B215" s="2" t="inlineStr">
        <is>
          <t>Phase 4 · Optimization &amp; Advanced</t>
        </is>
      </c>
      <c r="C215" s="2" t="inlineStr">
        <is>
          <t>🔢 Number Theory / Misc</t>
        </is>
      </c>
      <c r="D215" s="2" t="inlineStr">
        <is>
          <t>Divisors / primes</t>
        </is>
      </c>
      <c r="E215" s="2" t="n">
        <v>7</v>
      </c>
      <c r="F215" s="3" t="inlineStr">
        <is>
          <t>Must-do</t>
        </is>
      </c>
      <c r="G215" s="2" t="inlineStr">
        <is>
          <t>Total Number of Divisors of a Given Number</t>
        </is>
      </c>
      <c r="H215" s="4" t="inlineStr">
        <is>
          <t>Loop up to √n.</t>
        </is>
      </c>
      <c r="I215" s="2" t="inlineStr">
        <is>
          <t>Not Started</t>
        </is>
      </c>
      <c r="J215" s="2" t="n"/>
      <c r="K215" s="2" t="n"/>
      <c r="L215" s="4" t="n"/>
      <c r="M215" s="6">
        <f>HYPERLINK("https://www.geeksforgeeks.org/dsa/total-number-divisors-given-number/","Solve on LeetCode ↗")</f>
        <v/>
      </c>
      <c r="N215" s="6">
        <f>HYPERLINK("https://github.com/Prateek-5/question-bank/blob/main/DSA/Topics/Number_Theory_Misc/learn/Total_Number_of_Divisors_of_a_Given_Number.md","View Walkthrough ↗")</f>
        <v/>
      </c>
    </row>
    <row r="216">
      <c r="A216" s="2" t="n">
        <v>215</v>
      </c>
      <c r="B216" s="2" t="inlineStr">
        <is>
          <t>Phase 4 · Optimization &amp; Advanced</t>
        </is>
      </c>
      <c r="C216" s="2" t="inlineStr">
        <is>
          <t>🔢 Number Theory / Misc</t>
        </is>
      </c>
      <c r="D216" s="2" t="inlineStr">
        <is>
          <t>Divisors / primes</t>
        </is>
      </c>
      <c r="E216" s="2" t="n">
        <v>8</v>
      </c>
      <c r="F216" s="2" t="inlineStr"/>
      <c r="G216" s="2" t="inlineStr">
        <is>
          <t>Four Divisors</t>
        </is>
      </c>
      <c r="H216" s="4" t="inlineStr">
        <is>
          <t>Count divisors per number; sum when exactly 4.</t>
        </is>
      </c>
      <c r="I216" s="2" t="inlineStr">
        <is>
          <t>Not Started</t>
        </is>
      </c>
      <c r="J216" s="2" t="n"/>
      <c r="K216" s="2" t="n"/>
      <c r="L216" s="4" t="n"/>
      <c r="M216" s="6">
        <f>HYPERLINK("https://leetcode.com/problems/four-divisors/","Solve on LeetCode ↗")</f>
        <v/>
      </c>
      <c r="N216" s="6">
        <f>HYPERLINK("https://github.com/Prateek-5/question-bank/blob/main/DSA/Topics/Number_Theory_Misc/learn/Four_Divisors.md","View Walkthrough ↗")</f>
        <v/>
      </c>
    </row>
    <row r="217">
      <c r="A217" s="2" t="n">
        <v>216</v>
      </c>
      <c r="B217" s="2" t="inlineStr">
        <is>
          <t>Phase 4 · Optimization &amp; Advanced</t>
        </is>
      </c>
      <c r="C217" s="2" t="inlineStr">
        <is>
          <t>🔢 Number Theory / Misc</t>
        </is>
      </c>
      <c r="D217" s="2" t="inlineStr">
        <is>
          <t>Divisors / primes</t>
        </is>
      </c>
      <c r="E217" s="2" t="n">
        <v>9</v>
      </c>
      <c r="F217" s="2" t="inlineStr"/>
      <c r="G217" s="2" t="inlineStr">
        <is>
          <t>Largest Multiple of Three</t>
        </is>
      </c>
      <c r="H217" s="4" t="inlineStr">
        <is>
          <t>Greedy mod-3 digit drops.</t>
        </is>
      </c>
      <c r="I217" s="2" t="inlineStr">
        <is>
          <t>Not Started</t>
        </is>
      </c>
      <c r="J217" s="2" t="n"/>
      <c r="K217" s="2" t="n"/>
      <c r="L217" s="4" t="n"/>
      <c r="M217" s="6">
        <f>HYPERLINK("https://leetcode.com/problems/largest-multiple-of-three/","Solve on LeetCode ↗")</f>
        <v/>
      </c>
      <c r="N217" s="6">
        <f>HYPERLINK("https://github.com/Prateek-5/question-bank/blob/main/DSA/Topics/Number_Theory_Misc/learn/Largest_Multiple_of_Three.md","View Walkthrough ↗")</f>
        <v/>
      </c>
    </row>
    <row r="218">
      <c r="A218" s="2" t="n">
        <v>217</v>
      </c>
      <c r="B218" s="2" t="inlineStr">
        <is>
          <t>Phase 4 · Optimization &amp; Advanced</t>
        </is>
      </c>
      <c r="C218" s="2" t="inlineStr">
        <is>
          <t>🔢 Number Theory / Misc</t>
        </is>
      </c>
      <c r="D218" s="2" t="inlineStr">
        <is>
          <t>Divisors / primes</t>
        </is>
      </c>
      <c r="E218" s="2" t="n">
        <v>10</v>
      </c>
      <c r="F218" s="2" t="inlineStr"/>
      <c r="G218" s="2" t="inlineStr">
        <is>
          <t>Largest Number That Divides X and Is Co Prime with Y</t>
        </is>
      </c>
      <c r="H218" s="4" t="inlineStr">
        <is>
          <t>GCD repeat.</t>
        </is>
      </c>
      <c r="I218" s="2" t="inlineStr">
        <is>
          <t>Not Started</t>
        </is>
      </c>
      <c r="J218" s="2" t="n"/>
      <c r="K218" s="2" t="n"/>
      <c r="L218" s="4" t="n"/>
      <c r="M218" s="6">
        <f>HYPERLINK("https://www.geeksforgeeks.org/dsa/largest-number-divides-x-co-prime-y/","Solve on LeetCode ↗")</f>
        <v/>
      </c>
      <c r="N218" s="6">
        <f>HYPERLINK("https://github.com/Prateek-5/question-bank/blob/main/DSA/Topics/Number_Theory_Misc/learn/Largest_Number_That_Divides_X_and_Is_Co_Prime_with_Y.md","View Walkthrough ↗")</f>
        <v/>
      </c>
    </row>
    <row r="219">
      <c r="A219" s="2" t="n">
        <v>218</v>
      </c>
      <c r="B219" s="2" t="inlineStr">
        <is>
          <t>Phase 4 · Optimization &amp; Advanced</t>
        </is>
      </c>
      <c r="C219" s="2" t="inlineStr">
        <is>
          <t>🔢 Number Theory / Misc</t>
        </is>
      </c>
      <c r="D219" s="2" t="inlineStr">
        <is>
          <t>Power / exponent</t>
        </is>
      </c>
      <c r="E219" s="2" t="n">
        <v>11</v>
      </c>
      <c r="F219" s="3" t="inlineStr">
        <is>
          <t>Must-do</t>
        </is>
      </c>
      <c r="G219" s="2" t="inlineStr">
        <is>
          <t>Pow x n</t>
        </is>
      </c>
      <c r="H219" s="4" t="inlineStr">
        <is>
          <t>Fast exponentiation via squaring. O(log n).</t>
        </is>
      </c>
      <c r="I219" s="2" t="inlineStr">
        <is>
          <t>Not Started</t>
        </is>
      </c>
      <c r="J219" s="2" t="n"/>
      <c r="K219" s="2" t="n"/>
      <c r="L219" s="4" t="n"/>
      <c r="M219" s="6">
        <f>HYPERLINK("https://leetcode.com/problems/powx-n/","Solve on LeetCode ↗")</f>
        <v/>
      </c>
      <c r="N219" s="6">
        <f>HYPERLINK("https://github.com/Prateek-5/question-bank/blob/main/DSA/Topics/Number_Theory_Misc/learn/Pow_x_n.md","View Walkthrough ↗")</f>
        <v/>
      </c>
    </row>
    <row r="220">
      <c r="A220" s="2" t="n">
        <v>219</v>
      </c>
      <c r="B220" s="2" t="inlineStr">
        <is>
          <t>Phase 4 · Optimization &amp; Advanced</t>
        </is>
      </c>
      <c r="C220" s="2" t="inlineStr">
        <is>
          <t>🔢 Number Theory / Misc</t>
        </is>
      </c>
      <c r="D220" s="2" t="inlineStr">
        <is>
          <t>Power / exponent</t>
        </is>
      </c>
      <c r="E220" s="2" t="n">
        <v>12</v>
      </c>
      <c r="F220" s="2" t="inlineStr"/>
      <c r="G220" s="2" t="inlineStr">
        <is>
          <t>Ugly Number</t>
        </is>
      </c>
      <c r="H220" s="4" t="inlineStr">
        <is>
          <t>Divide by 2, 3, 5 until 1.</t>
        </is>
      </c>
      <c r="I220" s="2" t="inlineStr">
        <is>
          <t>Not Started</t>
        </is>
      </c>
      <c r="J220" s="2" t="n"/>
      <c r="K220" s="2" t="n"/>
      <c r="L220" s="4" t="n"/>
      <c r="M220" s="6">
        <f>HYPERLINK("https://leetcode.com/problems/ugly-number/","Solve on LeetCode ↗")</f>
        <v/>
      </c>
      <c r="N220" s="6">
        <f>HYPERLINK("https://github.com/Prateek-5/question-bank/blob/main/DSA/Topics/Number_Theory_Misc/learn/Ugly_Number.md","View Walkthrough ↗")</f>
        <v/>
      </c>
    </row>
    <row r="221">
      <c r="A221" s="2" t="n">
        <v>220</v>
      </c>
      <c r="B221" s="2" t="inlineStr">
        <is>
          <t>Phase 4 · Optimization &amp; Advanced</t>
        </is>
      </c>
      <c r="C221" s="2" t="inlineStr">
        <is>
          <t>🔢 Number Theory / Misc</t>
        </is>
      </c>
      <c r="D221" s="2" t="inlineStr">
        <is>
          <t>Math + observation</t>
        </is>
      </c>
      <c r="E221" s="2" t="n">
        <v>13</v>
      </c>
      <c r="F221" s="2" t="inlineStr"/>
      <c r="G221" s="2" t="inlineStr">
        <is>
          <t>Teemo Attacking</t>
        </is>
      </c>
      <c r="H221" s="4" t="inlineStr">
        <is>
          <t>Interval merge sums.</t>
        </is>
      </c>
      <c r="I221" s="2" t="inlineStr">
        <is>
          <t>Not Started</t>
        </is>
      </c>
      <c r="J221" s="2" t="n"/>
      <c r="K221" s="2" t="n"/>
      <c r="L221" s="4" t="n"/>
      <c r="M221" s="6">
        <f>HYPERLINK("https://leetcode.com/problems/teemo-attacking/description/","Solve on LeetCode ↗")</f>
        <v/>
      </c>
      <c r="N221" s="6">
        <f>HYPERLINK("https://github.com/Prateek-5/question-bank/blob/main/DSA/Topics/Number_Theory_Misc/learn/Teemo_Attacking.md","View Walkthrough ↗")</f>
        <v/>
      </c>
    </row>
    <row r="222">
      <c r="A222" s="2" t="n">
        <v>221</v>
      </c>
      <c r="B222" s="2" t="inlineStr">
        <is>
          <t>Phase 4 · Optimization &amp; Advanced</t>
        </is>
      </c>
      <c r="C222" s="2" t="inlineStr">
        <is>
          <t>🔢 Number Theory / Misc</t>
        </is>
      </c>
      <c r="D222" s="2" t="inlineStr">
        <is>
          <t>Math + observation</t>
        </is>
      </c>
      <c r="E222" s="2" t="n">
        <v>14</v>
      </c>
      <c r="F222" s="2" t="inlineStr"/>
      <c r="G222" s="2" t="inlineStr">
        <is>
          <t>Rectangle Area</t>
        </is>
      </c>
      <c r="H222" s="4" t="inlineStr">
        <is>
          <t>Overlap = clamp(max-min, 0).</t>
        </is>
      </c>
      <c r="I222" s="2" t="inlineStr">
        <is>
          <t>Not Started</t>
        </is>
      </c>
      <c r="J222" s="2" t="n"/>
      <c r="K222" s="2" t="n"/>
      <c r="L222" s="4" t="n"/>
      <c r="M222" s="6">
        <f>HYPERLINK("https://leetcode.com/problems/rectangle-area/description/","Solve on LeetCode ↗")</f>
        <v/>
      </c>
      <c r="N222" s="6">
        <f>HYPERLINK("https://github.com/Prateek-5/question-bank/blob/main/DSA/Topics/Number_Theory_Misc/learn/Rectangle_Area.md","View Walkthrough ↗")</f>
        <v/>
      </c>
    </row>
    <row r="223">
      <c r="A223" s="2" t="n">
        <v>222</v>
      </c>
      <c r="B223" s="2" t="inlineStr">
        <is>
          <t>Phase 4 · Optimization &amp; Advanced</t>
        </is>
      </c>
      <c r="C223" s="2" t="inlineStr">
        <is>
          <t>🔢 Number Theory / Misc</t>
        </is>
      </c>
      <c r="D223" s="2" t="inlineStr">
        <is>
          <t>Math + observation</t>
        </is>
      </c>
      <c r="E223" s="2" t="n">
        <v>15</v>
      </c>
      <c r="F223" s="2" t="inlineStr"/>
      <c r="G223" s="2" t="inlineStr">
        <is>
          <t>Subsequence of Size K With Largest Sum</t>
        </is>
      </c>
      <c r="H223" s="4" t="inlineStr">
        <is>
          <t>Sort + pick k largest by index.</t>
        </is>
      </c>
      <c r="I223" s="2" t="inlineStr">
        <is>
          <t>Not Started</t>
        </is>
      </c>
      <c r="J223" s="2" t="n"/>
      <c r="K223" s="2" t="n"/>
      <c r="L223" s="4" t="n"/>
      <c r="M223" s="6">
        <f>HYPERLINK("https://leetcode.com/problems/subsequence-of-size-k-with-the-largest-sum/","Solve on LeetCode ↗")</f>
        <v/>
      </c>
      <c r="N223" s="6">
        <f>HYPERLINK("https://github.com/Prateek-5/question-bank/blob/main/DSA/Topics/Number_Theory_Misc/learn/Subsequence_of_Size_K_With_Largest_Sum.md","View Walkthrough ↗")</f>
        <v/>
      </c>
    </row>
    <row r="224">
      <c r="A224" s="2" t="n">
        <v>223</v>
      </c>
      <c r="B224" s="2" t="inlineStr">
        <is>
          <t>Phase 4 · Optimization &amp; Advanced</t>
        </is>
      </c>
      <c r="C224" s="2" t="inlineStr">
        <is>
          <t>🔢 Number Theory / Misc</t>
        </is>
      </c>
      <c r="D224" s="2" t="inlineStr">
        <is>
          <t>Digit DP</t>
        </is>
      </c>
      <c r="E224" s="2" t="n">
        <v>16</v>
      </c>
      <c r="F224" s="2" t="inlineStr"/>
      <c r="G224" s="2" t="inlineStr">
        <is>
          <t>Number of Digit One</t>
        </is>
      </c>
      <c r="H224" s="4" t="inlineStr">
        <is>
          <t>Digit DP / math counting. Senior bar.</t>
        </is>
      </c>
      <c r="I224" s="2" t="inlineStr">
        <is>
          <t>Not Started</t>
        </is>
      </c>
      <c r="J224" s="2" t="n"/>
      <c r="K224" s="2" t="n"/>
      <c r="L224" s="4" t="n"/>
      <c r="M224" s="6">
        <f>HYPERLINK("https://leetcode.com/problems/number-of-digit-one/description/","Solve on LeetCode ↗")</f>
        <v/>
      </c>
      <c r="N224" s="6">
        <f>HYPERLINK("https://github.com/Prateek-5/question-bank/blob/main/DSA/Topics/Number_Theory_Misc/learn/Number_of_Digit_One.md","View Walkthrough ↗")</f>
        <v/>
      </c>
    </row>
    <row r="225">
      <c r="A225" s="2" t="n">
        <v>224</v>
      </c>
      <c r="B225" s="2" t="inlineStr">
        <is>
          <t>Phase 4 · Optimization &amp; Advanced</t>
        </is>
      </c>
      <c r="C225" s="2" t="inlineStr">
        <is>
          <t>🔢 Number Theory / Misc</t>
        </is>
      </c>
      <c r="D225" s="2" t="inlineStr">
        <is>
          <t>Game theory</t>
        </is>
      </c>
      <c r="E225" s="2" t="n">
        <v>17</v>
      </c>
      <c r="F225" s="2" t="inlineStr"/>
      <c r="G225" s="2" t="inlineStr">
        <is>
          <t>Divisor Game</t>
        </is>
      </c>
      <c r="H225" s="4" t="inlineStr">
        <is>
          <t>Parity of n.</t>
        </is>
      </c>
      <c r="I225" s="2" t="inlineStr">
        <is>
          <t>Not Started</t>
        </is>
      </c>
      <c r="J225" s="2" t="n"/>
      <c r="K225" s="2" t="n"/>
      <c r="L225" s="4" t="n"/>
      <c r="M225" s="6">
        <f>HYPERLINK("https://leetcode.com/problems/find-the-divisor-game/","Solve on LeetCode ↗")</f>
        <v/>
      </c>
      <c r="N225" s="6">
        <f>HYPERLINK("https://github.com/Prateek-5/question-bank/blob/main/DSA/Topics/Number_Theory_Misc/learn/Divisor_Game.md","View Walkthrough ↗")</f>
        <v/>
      </c>
    </row>
    <row r="226">
      <c r="A226" s="2" t="n">
        <v>225</v>
      </c>
      <c r="B226" s="2" t="inlineStr">
        <is>
          <t>Phase 4 · Optimization &amp; Advanced</t>
        </is>
      </c>
      <c r="C226" s="2" t="inlineStr">
        <is>
          <t>🔢 Number Theory / Misc</t>
        </is>
      </c>
      <c r="D226" s="2" t="inlineStr">
        <is>
          <t>Foundations</t>
        </is>
      </c>
      <c r="E226" s="2" t="n">
        <v>18</v>
      </c>
      <c r="F226" s="2" t="inlineStr"/>
      <c r="G226" s="2" t="inlineStr">
        <is>
          <t>Memoization DP Basics</t>
        </is>
      </c>
      <c r="H226" s="4" t="inlineStr">
        <is>
          <t>Concept doc; bridge to DP topic.</t>
        </is>
      </c>
      <c r="I226" s="2" t="inlineStr">
        <is>
          <t>Not Started</t>
        </is>
      </c>
      <c r="J226" s="2" t="n"/>
      <c r="K226" s="2" t="n"/>
      <c r="L226" s="4" t="n"/>
      <c r="M226" s="6">
        <f>HYPERLINK("https://leetcode.com/tag/dynamic-programming/","Solve on LeetCode ↗")</f>
        <v/>
      </c>
      <c r="N226" s="6">
        <f>HYPERLINK("https://github.com/Prateek-5/question-bank/blob/main/DSA/Topics/Number_Theory_Misc/learn/Memoization_DP_Basics.md","View Walkthrough ↗")</f>
        <v/>
      </c>
    </row>
    <row r="227">
      <c r="A227" s="2" t="n">
        <v>226</v>
      </c>
      <c r="B227" s="2" t="inlineStr">
        <is>
          <t>Phase 4 · Optimization &amp; Advanced</t>
        </is>
      </c>
      <c r="C227" s="2" t="inlineStr">
        <is>
          <t>🔢 Number Theory / Misc</t>
        </is>
      </c>
      <c r="D227" s="2" t="inlineStr">
        <is>
          <t>Randomization</t>
        </is>
      </c>
      <c r="E227" s="2" t="n">
        <v>19</v>
      </c>
      <c r="F227" s="3" t="inlineStr">
        <is>
          <t>Must-do</t>
        </is>
      </c>
      <c r="G227" s="2" t="inlineStr">
        <is>
          <t>Implement Rand10 Using Rand7</t>
        </is>
      </c>
      <c r="H227" s="4" t="inlineStr">
        <is>
          <t>Rejection sampling; the classic.</t>
        </is>
      </c>
      <c r="I227" s="2" t="inlineStr">
        <is>
          <t>Not Started</t>
        </is>
      </c>
      <c r="J227" s="2" t="n"/>
      <c r="K227" s="2" t="n"/>
      <c r="L227" s="4" t="n"/>
      <c r="M227" s="6">
        <f>HYPERLINK("https://leetcode.com/problems/implement-rand10-using-rand7/description/","Solve on LeetCode ↗")</f>
        <v/>
      </c>
      <c r="N227" s="6">
        <f>HYPERLINK("https://github.com/Prateek-5/question-bank/blob/main/DSA/Topics/Number_Theory_Misc/learn/Implement_Rand10_Using_Rand7.md","View Walkthrough ↗")</f>
        <v/>
      </c>
    </row>
  </sheetData>
  <autoFilter ref="A1:N1"/>
  <conditionalFormatting sqref="B2:B227">
    <cfRule type="expression" priority="1" dxfId="0">
      <formula>$B2="Phase 1 · Foundations"</formula>
    </cfRule>
    <cfRule type="expression" priority="2" dxfId="1">
      <formula>$B2="Phase 2 · Structures &amp; Idioms"</formula>
    </cfRule>
    <cfRule type="expression" priority="3" dxfId="2">
      <formula>$B2="Phase 3 · Trees &amp; Graphs"</formula>
    </cfRule>
    <cfRule type="expression" priority="4" dxfId="3">
      <formula>$B2="Phase 4 · Optimization &amp; Advanced"</formula>
    </cfRule>
  </conditionalFormatting>
  <conditionalFormatting sqref="I2:I227">
    <cfRule type="cellIs" priority="5" operator="equal" dxfId="4">
      <formula>"Solved"</formula>
    </cfRule>
    <cfRule type="cellIs" priority="6" operator="equal" dxfId="5">
      <formula>"In Progress"</formula>
    </cfRule>
    <cfRule type="cellIs" priority="7" operator="equal" dxfId="6">
      <formula>"Skipped"</formula>
    </cfRule>
    <cfRule type="cellIs" priority="8" operator="equal" dxfId="7">
      <formula>"Not Started"</formula>
    </cfRule>
  </conditionalFormatting>
  <conditionalFormatting sqref="J2:J227">
    <cfRule type="cellIs" priority="9" operator="equal" dxfId="8">
      <formula>"Yes"</formula>
    </cfRule>
  </conditionalFormatting>
  <dataValidations count="2">
    <dataValidation sqref="I2:I227" showDropDown="0" showInputMessage="1" showErrorMessage="1" allowBlank="1" errorTitle="Invalid status" error="Pick one of: Not Started, In Progress, Solved, Skipped." promptTitle="Status" prompt="Click the cell, then use the dropdown arrow to pick a value." type="list">
      <formula1>"Not Started,In Progress,Solved,Skipped"</formula1>
    </dataValidation>
    <dataValidation sqref="J2:J227" showDropDown="0" showInputMessage="1" showErrorMessage="1" allowBlank="1" errorTitle="Invalid value" error="Pick Yes or No, or leave blank." promptTitle="Needs Revisit" prompt="Yes = flag this problem for a second pass, independent of Status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O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4" max="4"/>
    <col width="8" customWidth="1" min="5" max="5"/>
    <col width="8" customWidth="1" min="6" max="6"/>
    <col width="10" customWidth="1" min="7" max="7"/>
    <col width="9" customWidth="1" min="8" max="8"/>
    <col width="10" customWidth="1" min="9" max="9"/>
    <col width="12" customWidth="1" min="10" max="10"/>
    <col width="11" customWidth="1" min="11" max="11"/>
  </cols>
  <sheetData>
    <row r="1" ht="26" customHeight="1">
      <c r="A1" s="7" t="inlineStr">
        <is>
          <t>📊 Overall Progress Dashboard</t>
        </is>
      </c>
    </row>
    <row r="2">
      <c r="A2" s="8" t="inlineStr">
        <is>
          <t>Every figure below is a live formula against 'Study Plan' — change a Status or Needs Revisit flag there and this whole dashboard recalculates instantly. A problem can be Solved AND flagged Needs Revisit at the same time.</t>
        </is>
      </c>
    </row>
    <row r="4">
      <c r="A4" s="9" t="inlineStr">
        <is>
          <t>TOTAL PROBLEMS</t>
        </is>
      </c>
      <c r="E4" s="10" t="inlineStr">
        <is>
          <t>SOLVED</t>
        </is>
      </c>
      <c r="I4" s="11" t="inlineStr">
        <is>
          <t>IN PROGRESS</t>
        </is>
      </c>
      <c r="M4" s="12" t="inlineStr">
        <is>
          <t>NOT STARTED</t>
        </is>
      </c>
    </row>
    <row r="5">
      <c r="A5" s="13">
        <f>COUNTA('Study Plan'!$G$2:$G$227)</f>
        <v/>
      </c>
      <c r="E5" s="14">
        <f>COUNTIF('Study Plan'!$I$2:$I$227,"Solved")</f>
        <v/>
      </c>
      <c r="I5" s="15">
        <f>COUNTIF('Study Plan'!$I$2:$I$227,"In Progress")</f>
        <v/>
      </c>
      <c r="M5" s="16">
        <f>COUNTIF('Study Plan'!$I$2:$I$227,"Not Started")</f>
        <v/>
      </c>
    </row>
    <row r="6"/>
    <row r="7"/>
    <row r="8">
      <c r="A8" s="17" t="inlineStr">
        <is>
          <t>SKIPPED</t>
        </is>
      </c>
      <c r="E8" s="18" t="inlineStr">
        <is>
          <t>NEEDS REVISIT</t>
        </is>
      </c>
      <c r="I8" s="19" t="inlineStr">
        <is>
          <t>% COMPLETE</t>
        </is>
      </c>
      <c r="M8" s="20" t="inlineStr">
        <is>
          <t>MUST-DO % COMPLETE</t>
        </is>
      </c>
    </row>
    <row r="9">
      <c r="A9" s="21">
        <f>COUNTIF('Study Plan'!$I$2:$I$227,"Skipped")</f>
        <v/>
      </c>
      <c r="E9" s="22">
        <f>COUNTIF('Study Plan'!$J$2:$J$227,"Yes")</f>
        <v/>
      </c>
      <c r="I9" s="23">
        <f>IFERROR(E5/A5,0)</f>
        <v/>
      </c>
      <c r="M9" s="24">
        <f>IFERROR((COUNTIFS('Study Plan'!$F$2:$F$227,"Must-do",'Study Plan'!$I$2:$I$227,"Solved"))/(COUNTIF('Study Plan'!$F$2:$F$227,"Must-do")),0)</f>
        <v/>
      </c>
    </row>
    <row r="10"/>
    <row r="11"/>
    <row r="13" ht="30" customHeight="1">
      <c r="A13" s="25" t="inlineStr">
        <is>
          <t>Snapshot</t>
        </is>
      </c>
      <c r="D13" s="26" t="inlineStr">
        <is>
          <t>Phase</t>
        </is>
      </c>
      <c r="E13" s="26" t="inlineStr">
        <is>
          <t>Total</t>
        </is>
      </c>
      <c r="F13" s="26" t="inlineStr">
        <is>
          <t>Solved</t>
        </is>
      </c>
      <c r="G13" s="26" t="inlineStr">
        <is>
          <t>In Progress</t>
        </is>
      </c>
      <c r="H13" s="26" t="inlineStr">
        <is>
          <t>Skipped</t>
        </is>
      </c>
      <c r="I13" s="26" t="inlineStr">
        <is>
          <t>Not Started</t>
        </is>
      </c>
      <c r="J13" s="26" t="inlineStr">
        <is>
          <t>Needs Revisit</t>
        </is>
      </c>
      <c r="K13" s="26" t="inlineStr">
        <is>
          <t>% Complete</t>
        </is>
      </c>
    </row>
    <row r="14">
      <c r="A14" s="27" t="inlineStr">
        <is>
          <t>Must-do Problems</t>
        </is>
      </c>
      <c r="B14" s="28">
        <f>COUNTIF('Study Plan'!$F$2:$F$227,"Must-do")</f>
        <v/>
      </c>
      <c r="D14" s="29" t="inlineStr">
        <is>
          <t>Phase 1 · Foundations</t>
        </is>
      </c>
      <c r="E14" s="29">
        <f>COUNTIF('Study Plan'!$B$2:$B$227,D14)</f>
        <v/>
      </c>
      <c r="F14" s="29">
        <f>COUNTIFS('Study Plan'!$B$2:$B$227,D14,'Study Plan'!$I$2:$I$227,"Solved")</f>
        <v/>
      </c>
      <c r="G14" s="29">
        <f>COUNTIFS('Study Plan'!$B$2:$B$227,D14,'Study Plan'!$I$2:$I$227,"In Progress")</f>
        <v/>
      </c>
      <c r="H14" s="29">
        <f>COUNTIFS('Study Plan'!$B$2:$B$227,D14,'Study Plan'!$I$2:$I$227,"Skipped")</f>
        <v/>
      </c>
      <c r="I14" s="29">
        <f>COUNTIFS('Study Plan'!$B$2:$B$227,D14,'Study Plan'!$I$2:$I$227,"Not Started")</f>
        <v/>
      </c>
      <c r="J14" s="29">
        <f>COUNTIFS('Study Plan'!$B$2:$B$227,D14,'Study Plan'!$J$2:$J$227,"Yes")</f>
        <v/>
      </c>
      <c r="K14" s="30">
        <f>IFERROR(F14/E14,0)</f>
        <v/>
      </c>
    </row>
    <row r="15">
      <c r="A15" s="27" t="inlineStr">
        <is>
          <t>Must-do Solved</t>
        </is>
      </c>
      <c r="B15" s="28">
        <f>COUNTIFS('Study Plan'!$F$2:$F$227,"Must-do",'Study Plan'!$I$2:$I$227,"Solved")</f>
        <v/>
      </c>
      <c r="D15" s="31" t="inlineStr">
        <is>
          <t>Phase 2 · Structures &amp; Idioms</t>
        </is>
      </c>
      <c r="E15" s="31">
        <f>COUNTIF('Study Plan'!$B$2:$B$227,D15)</f>
        <v/>
      </c>
      <c r="F15" s="31">
        <f>COUNTIFS('Study Plan'!$B$2:$B$227,D15,'Study Plan'!$I$2:$I$227,"Solved")</f>
        <v/>
      </c>
      <c r="G15" s="31">
        <f>COUNTIFS('Study Plan'!$B$2:$B$227,D15,'Study Plan'!$I$2:$I$227,"In Progress")</f>
        <v/>
      </c>
      <c r="H15" s="31">
        <f>COUNTIFS('Study Plan'!$B$2:$B$227,D15,'Study Plan'!$I$2:$I$227,"Skipped")</f>
        <v/>
      </c>
      <c r="I15" s="31">
        <f>COUNTIFS('Study Plan'!$B$2:$B$227,D15,'Study Plan'!$I$2:$I$227,"Not Started")</f>
        <v/>
      </c>
      <c r="J15" s="31">
        <f>COUNTIFS('Study Plan'!$B$2:$B$227,D15,'Study Plan'!$J$2:$J$227,"Yes")</f>
        <v/>
      </c>
      <c r="K15" s="32">
        <f>IFERROR(F15/E15,0)</f>
        <v/>
      </c>
    </row>
    <row r="16">
      <c r="A16" s="27" t="inlineStr">
        <is>
          <t>Solved — Last 7 Days</t>
        </is>
      </c>
      <c r="B16" s="28">
        <f>COUNTIFS('Study Plan'!$I$2:$I$227,"Solved",'Study Plan'!$K$2:$K$227,"&gt;="&amp;TODAY()-7)</f>
        <v/>
      </c>
      <c r="D16" s="33" t="inlineStr">
        <is>
          <t>Phase 3 · Trees &amp; Graphs</t>
        </is>
      </c>
      <c r="E16" s="33">
        <f>COUNTIF('Study Plan'!$B$2:$B$227,D16)</f>
        <v/>
      </c>
      <c r="F16" s="33">
        <f>COUNTIFS('Study Plan'!$B$2:$B$227,D16,'Study Plan'!$I$2:$I$227,"Solved")</f>
        <v/>
      </c>
      <c r="G16" s="33">
        <f>COUNTIFS('Study Plan'!$B$2:$B$227,D16,'Study Plan'!$I$2:$I$227,"In Progress")</f>
        <v/>
      </c>
      <c r="H16" s="33">
        <f>COUNTIFS('Study Plan'!$B$2:$B$227,D16,'Study Plan'!$I$2:$I$227,"Skipped")</f>
        <v/>
      </c>
      <c r="I16" s="33">
        <f>COUNTIFS('Study Plan'!$B$2:$B$227,D16,'Study Plan'!$I$2:$I$227,"Not Started")</f>
        <v/>
      </c>
      <c r="J16" s="33">
        <f>COUNTIFS('Study Plan'!$B$2:$B$227,D16,'Study Plan'!$J$2:$J$227,"Yes")</f>
        <v/>
      </c>
      <c r="K16" s="34">
        <f>IFERROR(F16/E16,0)</f>
        <v/>
      </c>
    </row>
    <row r="17">
      <c r="A17" s="27" t="inlineStr">
        <is>
          <t>Solved — Last 30 Days</t>
        </is>
      </c>
      <c r="B17" s="28">
        <f>COUNTIFS('Study Plan'!$I$2:$I$227,"Solved",'Study Plan'!$K$2:$K$227,"&gt;="&amp;TODAY()-30)</f>
        <v/>
      </c>
      <c r="D17" s="35" t="inlineStr">
        <is>
          <t>Phase 4 · Optimization &amp; Advanced</t>
        </is>
      </c>
      <c r="E17" s="35">
        <f>COUNTIF('Study Plan'!$B$2:$B$227,D17)</f>
        <v/>
      </c>
      <c r="F17" s="35">
        <f>COUNTIFS('Study Plan'!$B$2:$B$227,D17,'Study Plan'!$I$2:$I$227,"Solved")</f>
        <v/>
      </c>
      <c r="G17" s="35">
        <f>COUNTIFS('Study Plan'!$B$2:$B$227,D17,'Study Plan'!$I$2:$I$227,"In Progress")</f>
        <v/>
      </c>
      <c r="H17" s="35">
        <f>COUNTIFS('Study Plan'!$B$2:$B$227,D17,'Study Plan'!$I$2:$I$227,"Skipped")</f>
        <v/>
      </c>
      <c r="I17" s="35">
        <f>COUNTIFS('Study Plan'!$B$2:$B$227,D17,'Study Plan'!$I$2:$I$227,"Not Started")</f>
        <v/>
      </c>
      <c r="J17" s="35">
        <f>COUNTIFS('Study Plan'!$B$2:$B$227,D17,'Study Plan'!$J$2:$J$227,"Yes")</f>
        <v/>
      </c>
      <c r="K17" s="36">
        <f>IFERROR(F17/E17,0)</f>
        <v/>
      </c>
    </row>
    <row r="18">
      <c r="A18" s="27" t="inlineStr">
        <is>
          <t>Last Solved Date</t>
        </is>
      </c>
      <c r="B18" s="37">
        <f>IFERROR(MAX('Study Plan'!$K$2:$K$227),"—")</f>
        <v/>
      </c>
      <c r="D18" s="38" t="inlineStr">
        <is>
          <t>GRAND TOTAL</t>
        </is>
      </c>
      <c r="E18" s="38">
        <f>SUM(E14:E17)</f>
        <v/>
      </c>
      <c r="F18" s="38">
        <f>SUM(F14:F17)</f>
        <v/>
      </c>
      <c r="G18" s="38">
        <f>SUM(G14:G17)</f>
        <v/>
      </c>
      <c r="H18" s="38">
        <f>SUM(H14:H17)</f>
        <v/>
      </c>
      <c r="I18" s="38">
        <f>SUM(I14:I17)</f>
        <v/>
      </c>
      <c r="J18" s="38">
        <f>SUM(J14:J17)</f>
        <v/>
      </c>
      <c r="K18" s="39">
        <f>IFERROR(F18/E18,0)</f>
        <v/>
      </c>
    </row>
    <row r="19">
      <c r="A19" s="27" t="inlineStr">
        <is>
          <t>Days Since Last Solved</t>
        </is>
      </c>
      <c r="B19" s="28">
        <f>IFERROR(TODAY()-B18,"—")</f>
        <v/>
      </c>
    </row>
  </sheetData>
  <mergeCells count="18">
    <mergeCell ref="E5:G7"/>
    <mergeCell ref="A2:O2"/>
    <mergeCell ref="A9:C11"/>
    <mergeCell ref="E9:G11"/>
    <mergeCell ref="A8:C8"/>
    <mergeCell ref="M4:O4"/>
    <mergeCell ref="M5:O7"/>
    <mergeCell ref="E8:G8"/>
    <mergeCell ref="I8:K8"/>
    <mergeCell ref="A1:O1"/>
    <mergeCell ref="I5:K7"/>
    <mergeCell ref="I9:K11"/>
    <mergeCell ref="E4:G4"/>
    <mergeCell ref="M8:O8"/>
    <mergeCell ref="I4:K4"/>
    <mergeCell ref="M9:O11"/>
    <mergeCell ref="A4:C4"/>
    <mergeCell ref="A5:C7"/>
  </mergeCells>
  <conditionalFormatting sqref="I9">
    <cfRule type="colorScale" priority="1">
      <colorScale>
        <cfvo type="num" val="0"/>
        <cfvo type="num" val="0.5"/>
        <cfvo type="num" val="1"/>
        <color rgb="00F87171"/>
        <color rgb="00FBBF24"/>
        <color rgb="0034D399"/>
      </colorScale>
    </cfRule>
  </conditionalFormatting>
  <conditionalFormatting sqref="M9">
    <cfRule type="colorScale" priority="2">
      <colorScale>
        <cfvo type="num" val="0"/>
        <cfvo type="num" val="0.5"/>
        <cfvo type="num" val="1"/>
        <color rgb="00F87171"/>
        <color rgb="00FBBF24"/>
        <color rgb="0034D399"/>
      </colorScale>
    </cfRule>
  </conditionalFormatting>
  <conditionalFormatting sqref="K14:K18">
    <cfRule type="iconSet" priority="3">
      <iconSet iconSet="3TrafficLights1" showValue="1">
        <cfvo type="num" val="0"/>
        <cfvo type="num" val="0.5"/>
        <cfvo type="num" val="0.8"/>
      </iconSet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38CA"/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11" customWidth="1" min="4" max="4"/>
    <col width="9" customWidth="1" min="5" max="5"/>
    <col width="11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0" customWidth="1" min="12" max="12"/>
  </cols>
  <sheetData>
    <row r="1" ht="34" customHeight="1">
      <c r="A1" s="1" t="inlineStr">
        <is>
          <t>Phase</t>
        </is>
      </c>
      <c r="B1" s="1" t="inlineStr">
        <is>
          <t>Topic</t>
        </is>
      </c>
      <c r="C1" s="1" t="inlineStr">
        <is>
          <t>Not Started</t>
        </is>
      </c>
      <c r="D1" s="1" t="inlineStr">
        <is>
          <t>In Progress</t>
        </is>
      </c>
      <c r="E1" s="1" t="inlineStr">
        <is>
          <t>Skipped</t>
        </is>
      </c>
      <c r="F1" s="1" t="inlineStr">
        <is>
          <t>Needs Revisit</t>
        </is>
      </c>
      <c r="G1" s="1" t="inlineStr">
        <is>
          <t>Solved</t>
        </is>
      </c>
      <c r="H1" s="1" t="inlineStr">
        <is>
          <t>Total</t>
        </is>
      </c>
      <c r="I1" s="1" t="inlineStr">
        <is>
          <t>% Complete</t>
        </is>
      </c>
      <c r="J1" s="1" t="inlineStr">
        <is>
          <t>Must-do Total</t>
        </is>
      </c>
      <c r="K1" s="1" t="inlineStr">
        <is>
          <t>Must-do Solved</t>
        </is>
      </c>
      <c r="L1" s="1" t="inlineStr">
        <is>
          <t>Must-do %</t>
        </is>
      </c>
    </row>
    <row r="2">
      <c r="A2" s="28" t="inlineStr">
        <is>
          <t>Phase 1 · Foundations</t>
        </is>
      </c>
      <c r="B2" s="28" t="inlineStr">
        <is>
          <t>📦 Arrays &amp; Matrices</t>
        </is>
      </c>
      <c r="C2" s="28">
        <f>COUNTIFS('Study Plan'!$C$2:$C$227,B2,'Study Plan'!$I$2:$I$227,"Not Started")</f>
        <v/>
      </c>
      <c r="D2" s="28">
        <f>COUNTIFS('Study Plan'!$C$2:$C$227,B2,'Study Plan'!$I$2:$I$227,"In Progress")</f>
        <v/>
      </c>
      <c r="E2" s="28">
        <f>COUNTIFS('Study Plan'!$C$2:$C$227,B2,'Study Plan'!$I$2:$I$227,"Skipped")</f>
        <v/>
      </c>
      <c r="F2" s="28">
        <f>COUNTIFS('Study Plan'!$C$2:$C$227,B2,'Study Plan'!$J$2:$J$227,"Yes")</f>
        <v/>
      </c>
      <c r="G2" s="28">
        <f>COUNTIFS('Study Plan'!$C$2:$C$227,B2,'Study Plan'!$I$2:$I$227,"Solved")</f>
        <v/>
      </c>
      <c r="H2" s="28">
        <f>COUNTIF('Study Plan'!$C$2:$C$227,B2)</f>
        <v/>
      </c>
      <c r="I2" s="40">
        <f>IFERROR(G2/H2,0)</f>
        <v/>
      </c>
      <c r="J2" s="28">
        <f>COUNTIFS('Study Plan'!$C$2:$C$227,B2,'Study Plan'!$F$2:$F$227,"Must-do")</f>
        <v/>
      </c>
      <c r="K2" s="28">
        <f>COUNTIFS('Study Plan'!$C$2:$C$227,B2,'Study Plan'!$F$2:$F$227,"Must-do",'Study Plan'!$I$2:$I$227,"Solved")</f>
        <v/>
      </c>
      <c r="L2" s="40">
        <f>IFERROR(K2/J2,0)</f>
        <v/>
      </c>
    </row>
    <row r="3">
      <c r="A3" s="28" t="inlineStr">
        <is>
          <t>Phase 1 · Foundations</t>
        </is>
      </c>
      <c r="B3" s="28" t="inlineStr">
        <is>
          <t>📊 1-D &amp; 2-D Arrays</t>
        </is>
      </c>
      <c r="C3" s="28">
        <f>COUNTIFS('Study Plan'!$C$2:$C$227,B3,'Study Plan'!$I$2:$I$227,"Not Started")</f>
        <v/>
      </c>
      <c r="D3" s="28">
        <f>COUNTIFS('Study Plan'!$C$2:$C$227,B3,'Study Plan'!$I$2:$I$227,"In Progress")</f>
        <v/>
      </c>
      <c r="E3" s="28">
        <f>COUNTIFS('Study Plan'!$C$2:$C$227,B3,'Study Plan'!$I$2:$I$227,"Skipped")</f>
        <v/>
      </c>
      <c r="F3" s="28">
        <f>COUNTIFS('Study Plan'!$C$2:$C$227,B3,'Study Plan'!$J$2:$J$227,"Yes")</f>
        <v/>
      </c>
      <c r="G3" s="28">
        <f>COUNTIFS('Study Plan'!$C$2:$C$227,B3,'Study Plan'!$I$2:$I$227,"Solved")</f>
        <v/>
      </c>
      <c r="H3" s="28">
        <f>COUNTIF('Study Plan'!$C$2:$C$227,B3)</f>
        <v/>
      </c>
      <c r="I3" s="40">
        <f>IFERROR(G3/H3,0)</f>
        <v/>
      </c>
      <c r="J3" s="28">
        <f>COUNTIFS('Study Plan'!$C$2:$C$227,B3,'Study Plan'!$F$2:$F$227,"Must-do")</f>
        <v/>
      </c>
      <c r="K3" s="28">
        <f>COUNTIFS('Study Plan'!$C$2:$C$227,B3,'Study Plan'!$F$2:$F$227,"Must-do",'Study Plan'!$I$2:$I$227,"Solved")</f>
        <v/>
      </c>
      <c r="L3" s="40">
        <f>IFERROR(K3/J3,0)</f>
        <v/>
      </c>
    </row>
    <row r="4">
      <c r="A4" s="28" t="inlineStr">
        <is>
          <t>Phase 1 · Foundations</t>
        </is>
      </c>
      <c r="B4" s="28" t="inlineStr">
        <is>
          <t>🔍 Two Pointers</t>
        </is>
      </c>
      <c r="C4" s="28">
        <f>COUNTIFS('Study Plan'!$C$2:$C$227,B4,'Study Plan'!$I$2:$I$227,"Not Started")</f>
        <v/>
      </c>
      <c r="D4" s="28">
        <f>COUNTIFS('Study Plan'!$C$2:$C$227,B4,'Study Plan'!$I$2:$I$227,"In Progress")</f>
        <v/>
      </c>
      <c r="E4" s="28">
        <f>COUNTIFS('Study Plan'!$C$2:$C$227,B4,'Study Plan'!$I$2:$I$227,"Skipped")</f>
        <v/>
      </c>
      <c r="F4" s="28">
        <f>COUNTIFS('Study Plan'!$C$2:$C$227,B4,'Study Plan'!$J$2:$J$227,"Yes")</f>
        <v/>
      </c>
      <c r="G4" s="28">
        <f>COUNTIFS('Study Plan'!$C$2:$C$227,B4,'Study Plan'!$I$2:$I$227,"Solved")</f>
        <v/>
      </c>
      <c r="H4" s="28">
        <f>COUNTIF('Study Plan'!$C$2:$C$227,B4)</f>
        <v/>
      </c>
      <c r="I4" s="40">
        <f>IFERROR(G4/H4,0)</f>
        <v/>
      </c>
      <c r="J4" s="28">
        <f>COUNTIFS('Study Plan'!$C$2:$C$227,B4,'Study Plan'!$F$2:$F$227,"Must-do")</f>
        <v/>
      </c>
      <c r="K4" s="28">
        <f>COUNTIFS('Study Plan'!$C$2:$C$227,B4,'Study Plan'!$F$2:$F$227,"Must-do",'Study Plan'!$I$2:$I$227,"Solved")</f>
        <v/>
      </c>
      <c r="L4" s="40">
        <f>IFERROR(K4/J4,0)</f>
        <v/>
      </c>
    </row>
    <row r="5">
      <c r="A5" s="28" t="inlineStr">
        <is>
          <t>Phase 1 · Foundations</t>
        </is>
      </c>
      <c r="B5" s="28" t="inlineStr">
        <is>
          <t>🧮 Hashing / Sliding Window</t>
        </is>
      </c>
      <c r="C5" s="28">
        <f>COUNTIFS('Study Plan'!$C$2:$C$227,B5,'Study Plan'!$I$2:$I$227,"Not Started")</f>
        <v/>
      </c>
      <c r="D5" s="28">
        <f>COUNTIFS('Study Plan'!$C$2:$C$227,B5,'Study Plan'!$I$2:$I$227,"In Progress")</f>
        <v/>
      </c>
      <c r="E5" s="28">
        <f>COUNTIFS('Study Plan'!$C$2:$C$227,B5,'Study Plan'!$I$2:$I$227,"Skipped")</f>
        <v/>
      </c>
      <c r="F5" s="28">
        <f>COUNTIFS('Study Plan'!$C$2:$C$227,B5,'Study Plan'!$J$2:$J$227,"Yes")</f>
        <v/>
      </c>
      <c r="G5" s="28">
        <f>COUNTIFS('Study Plan'!$C$2:$C$227,B5,'Study Plan'!$I$2:$I$227,"Solved")</f>
        <v/>
      </c>
      <c r="H5" s="28">
        <f>COUNTIF('Study Plan'!$C$2:$C$227,B5)</f>
        <v/>
      </c>
      <c r="I5" s="40">
        <f>IFERROR(G5/H5,0)</f>
        <v/>
      </c>
      <c r="J5" s="28">
        <f>COUNTIFS('Study Plan'!$C$2:$C$227,B5,'Study Plan'!$F$2:$F$227,"Must-do")</f>
        <v/>
      </c>
      <c r="K5" s="28">
        <f>COUNTIFS('Study Plan'!$C$2:$C$227,B5,'Study Plan'!$F$2:$F$227,"Must-do",'Study Plan'!$I$2:$I$227,"Solved")</f>
        <v/>
      </c>
      <c r="L5" s="40">
        <f>IFERROR(K5/J5,0)</f>
        <v/>
      </c>
    </row>
    <row r="6">
      <c r="A6" s="28" t="inlineStr">
        <is>
          <t>Phase 1 · Foundations</t>
        </is>
      </c>
      <c r="B6" s="28" t="inlineStr">
        <is>
          <t>📚 Stack</t>
        </is>
      </c>
      <c r="C6" s="28">
        <f>COUNTIFS('Study Plan'!$C$2:$C$227,B6,'Study Plan'!$I$2:$I$227,"Not Started")</f>
        <v/>
      </c>
      <c r="D6" s="28">
        <f>COUNTIFS('Study Plan'!$C$2:$C$227,B6,'Study Plan'!$I$2:$I$227,"In Progress")</f>
        <v/>
      </c>
      <c r="E6" s="28">
        <f>COUNTIFS('Study Plan'!$C$2:$C$227,B6,'Study Plan'!$I$2:$I$227,"Skipped")</f>
        <v/>
      </c>
      <c r="F6" s="28">
        <f>COUNTIFS('Study Plan'!$C$2:$C$227,B6,'Study Plan'!$J$2:$J$227,"Yes")</f>
        <v/>
      </c>
      <c r="G6" s="28">
        <f>COUNTIFS('Study Plan'!$C$2:$C$227,B6,'Study Plan'!$I$2:$I$227,"Solved")</f>
        <v/>
      </c>
      <c r="H6" s="28">
        <f>COUNTIF('Study Plan'!$C$2:$C$227,B6)</f>
        <v/>
      </c>
      <c r="I6" s="40">
        <f>IFERROR(G6/H6,0)</f>
        <v/>
      </c>
      <c r="J6" s="28">
        <f>COUNTIFS('Study Plan'!$C$2:$C$227,B6,'Study Plan'!$F$2:$F$227,"Must-do")</f>
        <v/>
      </c>
      <c r="K6" s="28">
        <f>COUNTIFS('Study Plan'!$C$2:$C$227,B6,'Study Plan'!$F$2:$F$227,"Must-do",'Study Plan'!$I$2:$I$227,"Solved")</f>
        <v/>
      </c>
      <c r="L6" s="40">
        <f>IFERROR(K6/J6,0)</f>
        <v/>
      </c>
    </row>
    <row r="7">
      <c r="A7" s="28" t="inlineStr">
        <is>
          <t>Phase 1 · Foundations</t>
        </is>
      </c>
      <c r="B7" s="28" t="inlineStr">
        <is>
          <t>🔗 Linked List</t>
        </is>
      </c>
      <c r="C7" s="28">
        <f>COUNTIFS('Study Plan'!$C$2:$C$227,B7,'Study Plan'!$I$2:$I$227,"Not Started")</f>
        <v/>
      </c>
      <c r="D7" s="28">
        <f>COUNTIFS('Study Plan'!$C$2:$C$227,B7,'Study Plan'!$I$2:$I$227,"In Progress")</f>
        <v/>
      </c>
      <c r="E7" s="28">
        <f>COUNTIFS('Study Plan'!$C$2:$C$227,B7,'Study Plan'!$I$2:$I$227,"Skipped")</f>
        <v/>
      </c>
      <c r="F7" s="28">
        <f>COUNTIFS('Study Plan'!$C$2:$C$227,B7,'Study Plan'!$J$2:$J$227,"Yes")</f>
        <v/>
      </c>
      <c r="G7" s="28">
        <f>COUNTIFS('Study Plan'!$C$2:$C$227,B7,'Study Plan'!$I$2:$I$227,"Solved")</f>
        <v/>
      </c>
      <c r="H7" s="28">
        <f>COUNTIF('Study Plan'!$C$2:$C$227,B7)</f>
        <v/>
      </c>
      <c r="I7" s="40">
        <f>IFERROR(G7/H7,0)</f>
        <v/>
      </c>
      <c r="J7" s="28">
        <f>COUNTIFS('Study Plan'!$C$2:$C$227,B7,'Study Plan'!$F$2:$F$227,"Must-do")</f>
        <v/>
      </c>
      <c r="K7" s="28">
        <f>COUNTIFS('Study Plan'!$C$2:$C$227,B7,'Study Plan'!$F$2:$F$227,"Must-do",'Study Plan'!$I$2:$I$227,"Solved")</f>
        <v/>
      </c>
      <c r="L7" s="40">
        <f>IFERROR(K7/J7,0)</f>
        <v/>
      </c>
    </row>
    <row r="8">
      <c r="A8" s="28" t="inlineStr">
        <is>
          <t>Phase 1 · Foundations</t>
        </is>
      </c>
      <c r="B8" s="28" t="inlineStr">
        <is>
          <t>🔍 Searching / Binary Search</t>
        </is>
      </c>
      <c r="C8" s="28">
        <f>COUNTIFS('Study Plan'!$C$2:$C$227,B8,'Study Plan'!$I$2:$I$227,"Not Started")</f>
        <v/>
      </c>
      <c r="D8" s="28">
        <f>COUNTIFS('Study Plan'!$C$2:$C$227,B8,'Study Plan'!$I$2:$I$227,"In Progress")</f>
        <v/>
      </c>
      <c r="E8" s="28">
        <f>COUNTIFS('Study Plan'!$C$2:$C$227,B8,'Study Plan'!$I$2:$I$227,"Skipped")</f>
        <v/>
      </c>
      <c r="F8" s="28">
        <f>COUNTIFS('Study Plan'!$C$2:$C$227,B8,'Study Plan'!$J$2:$J$227,"Yes")</f>
        <v/>
      </c>
      <c r="G8" s="28">
        <f>COUNTIFS('Study Plan'!$C$2:$C$227,B8,'Study Plan'!$I$2:$I$227,"Solved")</f>
        <v/>
      </c>
      <c r="H8" s="28">
        <f>COUNTIF('Study Plan'!$C$2:$C$227,B8)</f>
        <v/>
      </c>
      <c r="I8" s="40">
        <f>IFERROR(G8/H8,0)</f>
        <v/>
      </c>
      <c r="J8" s="28">
        <f>COUNTIFS('Study Plan'!$C$2:$C$227,B8,'Study Plan'!$F$2:$F$227,"Must-do")</f>
        <v/>
      </c>
      <c r="K8" s="28">
        <f>COUNTIFS('Study Plan'!$C$2:$C$227,B8,'Study Plan'!$F$2:$F$227,"Must-do",'Study Plan'!$I$2:$I$227,"Solved")</f>
        <v/>
      </c>
      <c r="L8" s="40">
        <f>IFERROR(K8/J8,0)</f>
        <v/>
      </c>
    </row>
    <row r="9">
      <c r="A9" s="28" t="inlineStr">
        <is>
          <t>Phase 2 · Structures &amp; Idioms</t>
        </is>
      </c>
      <c r="B9" s="28" t="inlineStr">
        <is>
          <t>➗ Math</t>
        </is>
      </c>
      <c r="C9" s="28">
        <f>COUNTIFS('Study Plan'!$C$2:$C$227,B9,'Study Plan'!$I$2:$I$227,"Not Started")</f>
        <v/>
      </c>
      <c r="D9" s="28">
        <f>COUNTIFS('Study Plan'!$C$2:$C$227,B9,'Study Plan'!$I$2:$I$227,"In Progress")</f>
        <v/>
      </c>
      <c r="E9" s="28">
        <f>COUNTIFS('Study Plan'!$C$2:$C$227,B9,'Study Plan'!$I$2:$I$227,"Skipped")</f>
        <v/>
      </c>
      <c r="F9" s="28">
        <f>COUNTIFS('Study Plan'!$C$2:$C$227,B9,'Study Plan'!$J$2:$J$227,"Yes")</f>
        <v/>
      </c>
      <c r="G9" s="28">
        <f>COUNTIFS('Study Plan'!$C$2:$C$227,B9,'Study Plan'!$I$2:$I$227,"Solved")</f>
        <v/>
      </c>
      <c r="H9" s="28">
        <f>COUNTIF('Study Plan'!$C$2:$C$227,B9)</f>
        <v/>
      </c>
      <c r="I9" s="40">
        <f>IFERROR(G9/H9,0)</f>
        <v/>
      </c>
      <c r="J9" s="28">
        <f>COUNTIFS('Study Plan'!$C$2:$C$227,B9,'Study Plan'!$F$2:$F$227,"Must-do")</f>
        <v/>
      </c>
      <c r="K9" s="28">
        <f>COUNTIFS('Study Plan'!$C$2:$C$227,B9,'Study Plan'!$F$2:$F$227,"Must-do",'Study Plan'!$I$2:$I$227,"Solved")</f>
        <v/>
      </c>
      <c r="L9" s="40">
        <f>IFERROR(K9/J9,0)</f>
        <v/>
      </c>
    </row>
    <row r="10">
      <c r="A10" s="28" t="inlineStr">
        <is>
          <t>Phase 2 · Structures &amp; Idioms</t>
        </is>
      </c>
      <c r="B10" s="28" t="inlineStr">
        <is>
          <t>🧮 Bit Manipulation</t>
        </is>
      </c>
      <c r="C10" s="28">
        <f>COUNTIFS('Study Plan'!$C$2:$C$227,B10,'Study Plan'!$I$2:$I$227,"Not Started")</f>
        <v/>
      </c>
      <c r="D10" s="28">
        <f>COUNTIFS('Study Plan'!$C$2:$C$227,B10,'Study Plan'!$I$2:$I$227,"In Progress")</f>
        <v/>
      </c>
      <c r="E10" s="28">
        <f>COUNTIFS('Study Plan'!$C$2:$C$227,B10,'Study Plan'!$I$2:$I$227,"Skipped")</f>
        <v/>
      </c>
      <c r="F10" s="28">
        <f>COUNTIFS('Study Plan'!$C$2:$C$227,B10,'Study Plan'!$J$2:$J$227,"Yes")</f>
        <v/>
      </c>
      <c r="G10" s="28">
        <f>COUNTIFS('Study Plan'!$C$2:$C$227,B10,'Study Plan'!$I$2:$I$227,"Solved")</f>
        <v/>
      </c>
      <c r="H10" s="28">
        <f>COUNTIF('Study Plan'!$C$2:$C$227,B10)</f>
        <v/>
      </c>
      <c r="I10" s="40">
        <f>IFERROR(G10/H10,0)</f>
        <v/>
      </c>
      <c r="J10" s="28">
        <f>COUNTIFS('Study Plan'!$C$2:$C$227,B10,'Study Plan'!$F$2:$F$227,"Must-do")</f>
        <v/>
      </c>
      <c r="K10" s="28">
        <f>COUNTIFS('Study Plan'!$C$2:$C$227,B10,'Study Plan'!$F$2:$F$227,"Must-do",'Study Plan'!$I$2:$I$227,"Solved")</f>
        <v/>
      </c>
      <c r="L10" s="40">
        <f>IFERROR(K10/J10,0)</f>
        <v/>
      </c>
    </row>
    <row r="11">
      <c r="A11" s="28" t="inlineStr">
        <is>
          <t>Phase 2 · Structures &amp; Idioms</t>
        </is>
      </c>
      <c r="B11" s="28" t="inlineStr">
        <is>
          <t>🚦 Queues / Deque / Monotonic Queue</t>
        </is>
      </c>
      <c r="C11" s="28">
        <f>COUNTIFS('Study Plan'!$C$2:$C$227,B11,'Study Plan'!$I$2:$I$227,"Not Started")</f>
        <v/>
      </c>
      <c r="D11" s="28">
        <f>COUNTIFS('Study Plan'!$C$2:$C$227,B11,'Study Plan'!$I$2:$I$227,"In Progress")</f>
        <v/>
      </c>
      <c r="E11" s="28">
        <f>COUNTIFS('Study Plan'!$C$2:$C$227,B11,'Study Plan'!$I$2:$I$227,"Skipped")</f>
        <v/>
      </c>
      <c r="F11" s="28">
        <f>COUNTIFS('Study Plan'!$C$2:$C$227,B11,'Study Plan'!$J$2:$J$227,"Yes")</f>
        <v/>
      </c>
      <c r="G11" s="28">
        <f>COUNTIFS('Study Plan'!$C$2:$C$227,B11,'Study Plan'!$I$2:$I$227,"Solved")</f>
        <v/>
      </c>
      <c r="H11" s="28">
        <f>COUNTIF('Study Plan'!$C$2:$C$227,B11)</f>
        <v/>
      </c>
      <c r="I11" s="40">
        <f>IFERROR(G11/H11,0)</f>
        <v/>
      </c>
      <c r="J11" s="28">
        <f>COUNTIFS('Study Plan'!$C$2:$C$227,B11,'Study Plan'!$F$2:$F$227,"Must-do")</f>
        <v/>
      </c>
      <c r="K11" s="28">
        <f>COUNTIFS('Study Plan'!$C$2:$C$227,B11,'Study Plan'!$F$2:$F$227,"Must-do",'Study Plan'!$I$2:$I$227,"Solved")</f>
        <v/>
      </c>
      <c r="L11" s="40">
        <f>IFERROR(K11/J11,0)</f>
        <v/>
      </c>
    </row>
    <row r="12">
      <c r="A12" s="28" t="inlineStr">
        <is>
          <t>Phase 2 · Structures &amp; Idioms</t>
        </is>
      </c>
      <c r="B12" s="28" t="inlineStr">
        <is>
          <t>🔄 Sorting / Divide &amp; Conquer</t>
        </is>
      </c>
      <c r="C12" s="28">
        <f>COUNTIFS('Study Plan'!$C$2:$C$227,B12,'Study Plan'!$I$2:$I$227,"Not Started")</f>
        <v/>
      </c>
      <c r="D12" s="28">
        <f>COUNTIFS('Study Plan'!$C$2:$C$227,B12,'Study Plan'!$I$2:$I$227,"In Progress")</f>
        <v/>
      </c>
      <c r="E12" s="28">
        <f>COUNTIFS('Study Plan'!$C$2:$C$227,B12,'Study Plan'!$I$2:$I$227,"Skipped")</f>
        <v/>
      </c>
      <c r="F12" s="28">
        <f>COUNTIFS('Study Plan'!$C$2:$C$227,B12,'Study Plan'!$J$2:$J$227,"Yes")</f>
        <v/>
      </c>
      <c r="G12" s="28">
        <f>COUNTIFS('Study Plan'!$C$2:$C$227,B12,'Study Plan'!$I$2:$I$227,"Solved")</f>
        <v/>
      </c>
      <c r="H12" s="28">
        <f>COUNTIF('Study Plan'!$C$2:$C$227,B12)</f>
        <v/>
      </c>
      <c r="I12" s="40">
        <f>IFERROR(G12/H12,0)</f>
        <v/>
      </c>
      <c r="J12" s="28">
        <f>COUNTIFS('Study Plan'!$C$2:$C$227,B12,'Study Plan'!$F$2:$F$227,"Must-do")</f>
        <v/>
      </c>
      <c r="K12" s="28">
        <f>COUNTIFS('Study Plan'!$C$2:$C$227,B12,'Study Plan'!$F$2:$F$227,"Must-do",'Study Plan'!$I$2:$I$227,"Solved")</f>
        <v/>
      </c>
      <c r="L12" s="40">
        <f>IFERROR(K12/J12,0)</f>
        <v/>
      </c>
    </row>
    <row r="13">
      <c r="A13" s="28" t="inlineStr">
        <is>
          <t>Phase 2 · Structures &amp; Idioms</t>
        </is>
      </c>
      <c r="B13" s="28" t="inlineStr">
        <is>
          <t>🔁 Recursion</t>
        </is>
      </c>
      <c r="C13" s="28">
        <f>COUNTIFS('Study Plan'!$C$2:$C$227,B13,'Study Plan'!$I$2:$I$227,"Not Started")</f>
        <v/>
      </c>
      <c r="D13" s="28">
        <f>COUNTIFS('Study Plan'!$C$2:$C$227,B13,'Study Plan'!$I$2:$I$227,"In Progress")</f>
        <v/>
      </c>
      <c r="E13" s="28">
        <f>COUNTIFS('Study Plan'!$C$2:$C$227,B13,'Study Plan'!$I$2:$I$227,"Skipped")</f>
        <v/>
      </c>
      <c r="F13" s="28">
        <f>COUNTIFS('Study Plan'!$C$2:$C$227,B13,'Study Plan'!$J$2:$J$227,"Yes")</f>
        <v/>
      </c>
      <c r="G13" s="28">
        <f>COUNTIFS('Study Plan'!$C$2:$C$227,B13,'Study Plan'!$I$2:$I$227,"Solved")</f>
        <v/>
      </c>
      <c r="H13" s="28">
        <f>COUNTIF('Study Plan'!$C$2:$C$227,B13)</f>
        <v/>
      </c>
      <c r="I13" s="40">
        <f>IFERROR(G13/H13,0)</f>
        <v/>
      </c>
      <c r="J13" s="28">
        <f>COUNTIFS('Study Plan'!$C$2:$C$227,B13,'Study Plan'!$F$2:$F$227,"Must-do")</f>
        <v/>
      </c>
      <c r="K13" s="28">
        <f>COUNTIFS('Study Plan'!$C$2:$C$227,B13,'Study Plan'!$F$2:$F$227,"Must-do",'Study Plan'!$I$2:$I$227,"Solved")</f>
        <v/>
      </c>
      <c r="L13" s="40">
        <f>IFERROR(K13/J13,0)</f>
        <v/>
      </c>
    </row>
    <row r="14">
      <c r="A14" s="28" t="inlineStr">
        <is>
          <t>Phase 2 · Structures &amp; Idioms</t>
        </is>
      </c>
      <c r="B14" s="28" t="inlineStr">
        <is>
          <t>♟️ Backtracking</t>
        </is>
      </c>
      <c r="C14" s="28">
        <f>COUNTIFS('Study Plan'!$C$2:$C$227,B14,'Study Plan'!$I$2:$I$227,"Not Started")</f>
        <v/>
      </c>
      <c r="D14" s="28">
        <f>COUNTIFS('Study Plan'!$C$2:$C$227,B14,'Study Plan'!$I$2:$I$227,"In Progress")</f>
        <v/>
      </c>
      <c r="E14" s="28">
        <f>COUNTIFS('Study Plan'!$C$2:$C$227,B14,'Study Plan'!$I$2:$I$227,"Skipped")</f>
        <v/>
      </c>
      <c r="F14" s="28">
        <f>COUNTIFS('Study Plan'!$C$2:$C$227,B14,'Study Plan'!$J$2:$J$227,"Yes")</f>
        <v/>
      </c>
      <c r="G14" s="28">
        <f>COUNTIFS('Study Plan'!$C$2:$C$227,B14,'Study Plan'!$I$2:$I$227,"Solved")</f>
        <v/>
      </c>
      <c r="H14" s="28">
        <f>COUNTIF('Study Plan'!$C$2:$C$227,B14)</f>
        <v/>
      </c>
      <c r="I14" s="40">
        <f>IFERROR(G14/H14,0)</f>
        <v/>
      </c>
      <c r="J14" s="28">
        <f>COUNTIFS('Study Plan'!$C$2:$C$227,B14,'Study Plan'!$F$2:$F$227,"Must-do")</f>
        <v/>
      </c>
      <c r="K14" s="28">
        <f>COUNTIFS('Study Plan'!$C$2:$C$227,B14,'Study Plan'!$F$2:$F$227,"Must-do",'Study Plan'!$I$2:$I$227,"Solved")</f>
        <v/>
      </c>
      <c r="L14" s="40">
        <f>IFERROR(K14/J14,0)</f>
        <v/>
      </c>
    </row>
    <row r="15">
      <c r="A15" s="28" t="inlineStr">
        <is>
          <t>Phase 3 · Trees &amp; Graphs</t>
        </is>
      </c>
      <c r="B15" s="28" t="inlineStr">
        <is>
          <t>🌳 Trees / Binary Trees</t>
        </is>
      </c>
      <c r="C15" s="28">
        <f>COUNTIFS('Study Plan'!$C$2:$C$227,B15,'Study Plan'!$I$2:$I$227,"Not Started")</f>
        <v/>
      </c>
      <c r="D15" s="28">
        <f>COUNTIFS('Study Plan'!$C$2:$C$227,B15,'Study Plan'!$I$2:$I$227,"In Progress")</f>
        <v/>
      </c>
      <c r="E15" s="28">
        <f>COUNTIFS('Study Plan'!$C$2:$C$227,B15,'Study Plan'!$I$2:$I$227,"Skipped")</f>
        <v/>
      </c>
      <c r="F15" s="28">
        <f>COUNTIFS('Study Plan'!$C$2:$C$227,B15,'Study Plan'!$J$2:$J$227,"Yes")</f>
        <v/>
      </c>
      <c r="G15" s="28">
        <f>COUNTIFS('Study Plan'!$C$2:$C$227,B15,'Study Plan'!$I$2:$I$227,"Solved")</f>
        <v/>
      </c>
      <c r="H15" s="28">
        <f>COUNTIF('Study Plan'!$C$2:$C$227,B15)</f>
        <v/>
      </c>
      <c r="I15" s="40">
        <f>IFERROR(G15/H15,0)</f>
        <v/>
      </c>
      <c r="J15" s="28">
        <f>COUNTIFS('Study Plan'!$C$2:$C$227,B15,'Study Plan'!$F$2:$F$227,"Must-do")</f>
        <v/>
      </c>
      <c r="K15" s="28">
        <f>COUNTIFS('Study Plan'!$C$2:$C$227,B15,'Study Plan'!$F$2:$F$227,"Must-do",'Study Plan'!$I$2:$I$227,"Solved")</f>
        <v/>
      </c>
      <c r="L15" s="40">
        <f>IFERROR(K15/J15,0)</f>
        <v/>
      </c>
    </row>
    <row r="16">
      <c r="A16" s="28" t="inlineStr">
        <is>
          <t>Phase 3 · Trees &amp; Graphs</t>
        </is>
      </c>
      <c r="B16" s="28" t="inlineStr">
        <is>
          <t>🌲 Binary Search Tree (BST)</t>
        </is>
      </c>
      <c r="C16" s="28">
        <f>COUNTIFS('Study Plan'!$C$2:$C$227,B16,'Study Plan'!$I$2:$I$227,"Not Started")</f>
        <v/>
      </c>
      <c r="D16" s="28">
        <f>COUNTIFS('Study Plan'!$C$2:$C$227,B16,'Study Plan'!$I$2:$I$227,"In Progress")</f>
        <v/>
      </c>
      <c r="E16" s="28">
        <f>COUNTIFS('Study Plan'!$C$2:$C$227,B16,'Study Plan'!$I$2:$I$227,"Skipped")</f>
        <v/>
      </c>
      <c r="F16" s="28">
        <f>COUNTIFS('Study Plan'!$C$2:$C$227,B16,'Study Plan'!$J$2:$J$227,"Yes")</f>
        <v/>
      </c>
      <c r="G16" s="28">
        <f>COUNTIFS('Study Plan'!$C$2:$C$227,B16,'Study Plan'!$I$2:$I$227,"Solved")</f>
        <v/>
      </c>
      <c r="H16" s="28">
        <f>COUNTIF('Study Plan'!$C$2:$C$227,B16)</f>
        <v/>
      </c>
      <c r="I16" s="40">
        <f>IFERROR(G16/H16,0)</f>
        <v/>
      </c>
      <c r="J16" s="28">
        <f>COUNTIFS('Study Plan'!$C$2:$C$227,B16,'Study Plan'!$F$2:$F$227,"Must-do")</f>
        <v/>
      </c>
      <c r="K16" s="28">
        <f>COUNTIFS('Study Plan'!$C$2:$C$227,B16,'Study Plan'!$F$2:$F$227,"Must-do",'Study Plan'!$I$2:$I$227,"Solved")</f>
        <v/>
      </c>
      <c r="L16" s="40">
        <f>IFERROR(K16/J16,0)</f>
        <v/>
      </c>
    </row>
    <row r="17">
      <c r="A17" s="28" t="inlineStr">
        <is>
          <t>Phase 3 · Trees &amp; Graphs</t>
        </is>
      </c>
      <c r="B17" s="28" t="inlineStr">
        <is>
          <t>🔤 Trie / Bit Manipulation Trie</t>
        </is>
      </c>
      <c r="C17" s="28">
        <f>COUNTIFS('Study Plan'!$C$2:$C$227,B17,'Study Plan'!$I$2:$I$227,"Not Started")</f>
        <v/>
      </c>
      <c r="D17" s="28">
        <f>COUNTIFS('Study Plan'!$C$2:$C$227,B17,'Study Plan'!$I$2:$I$227,"In Progress")</f>
        <v/>
      </c>
      <c r="E17" s="28">
        <f>COUNTIFS('Study Plan'!$C$2:$C$227,B17,'Study Plan'!$I$2:$I$227,"Skipped")</f>
        <v/>
      </c>
      <c r="F17" s="28">
        <f>COUNTIFS('Study Plan'!$C$2:$C$227,B17,'Study Plan'!$J$2:$J$227,"Yes")</f>
        <v/>
      </c>
      <c r="G17" s="28">
        <f>COUNTIFS('Study Plan'!$C$2:$C$227,B17,'Study Plan'!$I$2:$I$227,"Solved")</f>
        <v/>
      </c>
      <c r="H17" s="28">
        <f>COUNTIF('Study Plan'!$C$2:$C$227,B17)</f>
        <v/>
      </c>
      <c r="I17" s="40">
        <f>IFERROR(G17/H17,0)</f>
        <v/>
      </c>
      <c r="J17" s="28">
        <f>COUNTIFS('Study Plan'!$C$2:$C$227,B17,'Study Plan'!$F$2:$F$227,"Must-do")</f>
        <v/>
      </c>
      <c r="K17" s="28">
        <f>COUNTIFS('Study Plan'!$C$2:$C$227,B17,'Study Plan'!$F$2:$F$227,"Must-do",'Study Plan'!$I$2:$I$227,"Solved")</f>
        <v/>
      </c>
      <c r="L17" s="40">
        <f>IFERROR(K17/J17,0)</f>
        <v/>
      </c>
    </row>
    <row r="18">
      <c r="A18" s="28" t="inlineStr">
        <is>
          <t>Phase 3 · Trees &amp; Graphs</t>
        </is>
      </c>
      <c r="B18" s="28" t="inlineStr">
        <is>
          <t>⛰️ Heap / Priority Queue</t>
        </is>
      </c>
      <c r="C18" s="28">
        <f>COUNTIFS('Study Plan'!$C$2:$C$227,B18,'Study Plan'!$I$2:$I$227,"Not Started")</f>
        <v/>
      </c>
      <c r="D18" s="28">
        <f>COUNTIFS('Study Plan'!$C$2:$C$227,B18,'Study Plan'!$I$2:$I$227,"In Progress")</f>
        <v/>
      </c>
      <c r="E18" s="28">
        <f>COUNTIFS('Study Plan'!$C$2:$C$227,B18,'Study Plan'!$I$2:$I$227,"Skipped")</f>
        <v/>
      </c>
      <c r="F18" s="28">
        <f>COUNTIFS('Study Plan'!$C$2:$C$227,B18,'Study Plan'!$J$2:$J$227,"Yes")</f>
        <v/>
      </c>
      <c r="G18" s="28">
        <f>COUNTIFS('Study Plan'!$C$2:$C$227,B18,'Study Plan'!$I$2:$I$227,"Solved")</f>
        <v/>
      </c>
      <c r="H18" s="28">
        <f>COUNTIF('Study Plan'!$C$2:$C$227,B18)</f>
        <v/>
      </c>
      <c r="I18" s="40">
        <f>IFERROR(G18/H18,0)</f>
        <v/>
      </c>
      <c r="J18" s="28">
        <f>COUNTIFS('Study Plan'!$C$2:$C$227,B18,'Study Plan'!$F$2:$F$227,"Must-do")</f>
        <v/>
      </c>
      <c r="K18" s="28">
        <f>COUNTIFS('Study Plan'!$C$2:$C$227,B18,'Study Plan'!$F$2:$F$227,"Must-do",'Study Plan'!$I$2:$I$227,"Solved")</f>
        <v/>
      </c>
      <c r="L18" s="40">
        <f>IFERROR(K18/J18,0)</f>
        <v/>
      </c>
    </row>
    <row r="19">
      <c r="A19" s="28" t="inlineStr">
        <is>
          <t>Phase 3 · Trees &amp; Graphs</t>
        </is>
      </c>
      <c r="B19" s="28" t="inlineStr">
        <is>
          <t>🌐 Graph (BFS / DFS / Dijkstra / DSU)</t>
        </is>
      </c>
      <c r="C19" s="28">
        <f>COUNTIFS('Study Plan'!$C$2:$C$227,B19,'Study Plan'!$I$2:$I$227,"Not Started")</f>
        <v/>
      </c>
      <c r="D19" s="28">
        <f>COUNTIFS('Study Plan'!$C$2:$C$227,B19,'Study Plan'!$I$2:$I$227,"In Progress")</f>
        <v/>
      </c>
      <c r="E19" s="28">
        <f>COUNTIFS('Study Plan'!$C$2:$C$227,B19,'Study Plan'!$I$2:$I$227,"Skipped")</f>
        <v/>
      </c>
      <c r="F19" s="28">
        <f>COUNTIFS('Study Plan'!$C$2:$C$227,B19,'Study Plan'!$J$2:$J$227,"Yes")</f>
        <v/>
      </c>
      <c r="G19" s="28">
        <f>COUNTIFS('Study Plan'!$C$2:$C$227,B19,'Study Plan'!$I$2:$I$227,"Solved")</f>
        <v/>
      </c>
      <c r="H19" s="28">
        <f>COUNTIF('Study Plan'!$C$2:$C$227,B19)</f>
        <v/>
      </c>
      <c r="I19" s="40">
        <f>IFERROR(G19/H19,0)</f>
        <v/>
      </c>
      <c r="J19" s="28">
        <f>COUNTIFS('Study Plan'!$C$2:$C$227,B19,'Study Plan'!$F$2:$F$227,"Must-do")</f>
        <v/>
      </c>
      <c r="K19" s="28">
        <f>COUNTIFS('Study Plan'!$C$2:$C$227,B19,'Study Plan'!$F$2:$F$227,"Must-do",'Study Plan'!$I$2:$I$227,"Solved")</f>
        <v/>
      </c>
      <c r="L19" s="40">
        <f>IFERROR(K19/J19,0)</f>
        <v/>
      </c>
    </row>
    <row r="20">
      <c r="A20" s="28" t="inlineStr">
        <is>
          <t>Phase 4 · Optimization &amp; Advanced</t>
        </is>
      </c>
      <c r="B20" s="28" t="inlineStr">
        <is>
          <t>💰 Greedy</t>
        </is>
      </c>
      <c r="C20" s="28">
        <f>COUNTIFS('Study Plan'!$C$2:$C$227,B20,'Study Plan'!$I$2:$I$227,"Not Started")</f>
        <v/>
      </c>
      <c r="D20" s="28">
        <f>COUNTIFS('Study Plan'!$C$2:$C$227,B20,'Study Plan'!$I$2:$I$227,"In Progress")</f>
        <v/>
      </c>
      <c r="E20" s="28">
        <f>COUNTIFS('Study Plan'!$C$2:$C$227,B20,'Study Plan'!$I$2:$I$227,"Skipped")</f>
        <v/>
      </c>
      <c r="F20" s="28">
        <f>COUNTIFS('Study Plan'!$C$2:$C$227,B20,'Study Plan'!$J$2:$J$227,"Yes")</f>
        <v/>
      </c>
      <c r="G20" s="28">
        <f>COUNTIFS('Study Plan'!$C$2:$C$227,B20,'Study Plan'!$I$2:$I$227,"Solved")</f>
        <v/>
      </c>
      <c r="H20" s="28">
        <f>COUNTIF('Study Plan'!$C$2:$C$227,B20)</f>
        <v/>
      </c>
      <c r="I20" s="40">
        <f>IFERROR(G20/H20,0)</f>
        <v/>
      </c>
      <c r="J20" s="28">
        <f>COUNTIFS('Study Plan'!$C$2:$C$227,B20,'Study Plan'!$F$2:$F$227,"Must-do")</f>
        <v/>
      </c>
      <c r="K20" s="28">
        <f>COUNTIFS('Study Plan'!$C$2:$C$227,B20,'Study Plan'!$F$2:$F$227,"Must-do",'Study Plan'!$I$2:$I$227,"Solved")</f>
        <v/>
      </c>
      <c r="L20" s="40">
        <f>IFERROR(K20/J20,0)</f>
        <v/>
      </c>
    </row>
    <row r="21">
      <c r="A21" s="28" t="inlineStr">
        <is>
          <t>Phase 4 · Optimization &amp; Advanced</t>
        </is>
      </c>
      <c r="B21" s="28" t="inlineStr">
        <is>
          <t>🧠 Dynamic Programming (DP)</t>
        </is>
      </c>
      <c r="C21" s="28">
        <f>COUNTIFS('Study Plan'!$C$2:$C$227,B21,'Study Plan'!$I$2:$I$227,"Not Started")</f>
        <v/>
      </c>
      <c r="D21" s="28">
        <f>COUNTIFS('Study Plan'!$C$2:$C$227,B21,'Study Plan'!$I$2:$I$227,"In Progress")</f>
        <v/>
      </c>
      <c r="E21" s="28">
        <f>COUNTIFS('Study Plan'!$C$2:$C$227,B21,'Study Plan'!$I$2:$I$227,"Skipped")</f>
        <v/>
      </c>
      <c r="F21" s="28">
        <f>COUNTIFS('Study Plan'!$C$2:$C$227,B21,'Study Plan'!$J$2:$J$227,"Yes")</f>
        <v/>
      </c>
      <c r="G21" s="28">
        <f>COUNTIFS('Study Plan'!$C$2:$C$227,B21,'Study Plan'!$I$2:$I$227,"Solved")</f>
        <v/>
      </c>
      <c r="H21" s="28">
        <f>COUNTIF('Study Plan'!$C$2:$C$227,B21)</f>
        <v/>
      </c>
      <c r="I21" s="40">
        <f>IFERROR(G21/H21,0)</f>
        <v/>
      </c>
      <c r="J21" s="28">
        <f>COUNTIFS('Study Plan'!$C$2:$C$227,B21,'Study Plan'!$F$2:$F$227,"Must-do")</f>
        <v/>
      </c>
      <c r="K21" s="28">
        <f>COUNTIFS('Study Plan'!$C$2:$C$227,B21,'Study Plan'!$F$2:$F$227,"Must-do",'Study Plan'!$I$2:$I$227,"Solved")</f>
        <v/>
      </c>
      <c r="L21" s="40">
        <f>IFERROR(K21/J21,0)</f>
        <v/>
      </c>
    </row>
    <row r="22">
      <c r="A22" s="28" t="inlineStr">
        <is>
          <t>Phase 4 · Optimization &amp; Advanced</t>
        </is>
      </c>
      <c r="B22" s="28" t="inlineStr">
        <is>
          <t>📐 Segment Tree / Range Queries</t>
        </is>
      </c>
      <c r="C22" s="28">
        <f>COUNTIFS('Study Plan'!$C$2:$C$227,B22,'Study Plan'!$I$2:$I$227,"Not Started")</f>
        <v/>
      </c>
      <c r="D22" s="28">
        <f>COUNTIFS('Study Plan'!$C$2:$C$227,B22,'Study Plan'!$I$2:$I$227,"In Progress")</f>
        <v/>
      </c>
      <c r="E22" s="28">
        <f>COUNTIFS('Study Plan'!$C$2:$C$227,B22,'Study Plan'!$I$2:$I$227,"Skipped")</f>
        <v/>
      </c>
      <c r="F22" s="28">
        <f>COUNTIFS('Study Plan'!$C$2:$C$227,B22,'Study Plan'!$J$2:$J$227,"Yes")</f>
        <v/>
      </c>
      <c r="G22" s="28">
        <f>COUNTIFS('Study Plan'!$C$2:$C$227,B22,'Study Plan'!$I$2:$I$227,"Solved")</f>
        <v/>
      </c>
      <c r="H22" s="28">
        <f>COUNTIF('Study Plan'!$C$2:$C$227,B22)</f>
        <v/>
      </c>
      <c r="I22" s="40">
        <f>IFERROR(G22/H22,0)</f>
        <v/>
      </c>
      <c r="J22" s="28">
        <f>COUNTIFS('Study Plan'!$C$2:$C$227,B22,'Study Plan'!$F$2:$F$227,"Must-do")</f>
        <v/>
      </c>
      <c r="K22" s="28">
        <f>COUNTIFS('Study Plan'!$C$2:$C$227,B22,'Study Plan'!$F$2:$F$227,"Must-do",'Study Plan'!$I$2:$I$227,"Solved")</f>
        <v/>
      </c>
      <c r="L22" s="40">
        <f>IFERROR(K22/J22,0)</f>
        <v/>
      </c>
    </row>
    <row r="23">
      <c r="A23" s="28" t="inlineStr">
        <is>
          <t>Phase 4 · Optimization &amp; Advanced</t>
        </is>
      </c>
      <c r="B23" s="28" t="inlineStr">
        <is>
          <t>🔢 Number Theory / Misc</t>
        </is>
      </c>
      <c r="C23" s="28">
        <f>COUNTIFS('Study Plan'!$C$2:$C$227,B23,'Study Plan'!$I$2:$I$227,"Not Started")</f>
        <v/>
      </c>
      <c r="D23" s="28">
        <f>COUNTIFS('Study Plan'!$C$2:$C$227,B23,'Study Plan'!$I$2:$I$227,"In Progress")</f>
        <v/>
      </c>
      <c r="E23" s="28">
        <f>COUNTIFS('Study Plan'!$C$2:$C$227,B23,'Study Plan'!$I$2:$I$227,"Skipped")</f>
        <v/>
      </c>
      <c r="F23" s="28">
        <f>COUNTIFS('Study Plan'!$C$2:$C$227,B23,'Study Plan'!$J$2:$J$227,"Yes")</f>
        <v/>
      </c>
      <c r="G23" s="28">
        <f>COUNTIFS('Study Plan'!$C$2:$C$227,B23,'Study Plan'!$I$2:$I$227,"Solved")</f>
        <v/>
      </c>
      <c r="H23" s="28">
        <f>COUNTIF('Study Plan'!$C$2:$C$227,B23)</f>
        <v/>
      </c>
      <c r="I23" s="40">
        <f>IFERROR(G23/H23,0)</f>
        <v/>
      </c>
      <c r="J23" s="28">
        <f>COUNTIFS('Study Plan'!$C$2:$C$227,B23,'Study Plan'!$F$2:$F$227,"Must-do")</f>
        <v/>
      </c>
      <c r="K23" s="28">
        <f>COUNTIFS('Study Plan'!$C$2:$C$227,B23,'Study Plan'!$F$2:$F$227,"Must-do",'Study Plan'!$I$2:$I$227,"Solved")</f>
        <v/>
      </c>
      <c r="L23" s="40">
        <f>IFERROR(K23/J23,0)</f>
        <v/>
      </c>
    </row>
    <row r="24">
      <c r="A24" s="38" t="n"/>
      <c r="B24" s="38" t="inlineStr">
        <is>
          <t>GRAND TOTAL (22 topics)</t>
        </is>
      </c>
      <c r="C24" s="38">
        <f>SUM(C2:C23)</f>
        <v/>
      </c>
      <c r="D24" s="38">
        <f>SUM(D2:D23)</f>
        <v/>
      </c>
      <c r="E24" s="38">
        <f>SUM(E2:E23)</f>
        <v/>
      </c>
      <c r="F24" s="38">
        <f>SUM(F2:F23)</f>
        <v/>
      </c>
      <c r="G24" s="38">
        <f>SUM(G2:G23)</f>
        <v/>
      </c>
      <c r="H24" s="38">
        <f>SUM(H2:H23)</f>
        <v/>
      </c>
      <c r="I24" s="39">
        <f>IFERROR(G24/H24,0)</f>
        <v/>
      </c>
      <c r="J24" s="38">
        <f>SUM(J2:J23)</f>
        <v/>
      </c>
      <c r="K24" s="38">
        <f>SUM(K2:K23)</f>
        <v/>
      </c>
      <c r="L24" s="39">
        <f>IFERROR(K24/J24,0)</f>
        <v/>
      </c>
    </row>
  </sheetData>
  <autoFilter ref="A1:L1"/>
  <conditionalFormatting sqref="I2:I24">
    <cfRule type="iconSet" priority="1">
      <iconSet iconSet="3TrafficLights1" showValue="1">
        <cfvo type="num" val="0"/>
        <cfvo type="num" val="0.5"/>
        <cfvo type="num" val="0.8"/>
      </iconSet>
    </cfRule>
  </conditionalFormatting>
  <conditionalFormatting sqref="L2:L23">
    <cfRule type="dataBar" priority="2">
      <dataBar>
        <cfvo type="num" val="0"/>
        <cfvo type="num" val="1"/>
        <color rgb="009673A6"/>
      </dataBar>
    </cfRule>
  </conditionalFormatting>
  <conditionalFormatting sqref="F2:F23">
    <cfRule type="dataBar" priority="3">
      <dataBar>
        <cfvo type="num" val="0"/>
        <cfvo type="max"/>
        <color rgb="00638EC6"/>
      </dataBar>
    </cfRule>
  </conditionalFormatting>
  <conditionalFormatting sqref="A2:A23">
    <cfRule type="expression" priority="4" dxfId="0">
      <formula>$A2="Phase 1 · Foundations"</formula>
    </cfRule>
    <cfRule type="expression" priority="5" dxfId="1">
      <formula>$A2="Phase 2 · Structures &amp; Idioms"</formula>
    </cfRule>
    <cfRule type="expression" priority="6" dxfId="2">
      <formula>$A2="Phase 3 · Trees &amp; Graphs"</formula>
    </cfRule>
    <cfRule type="expression" priority="7" dxfId="3">
      <formula>$A2="Phase 4 · Optimization &amp; Advanced"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>
      <c r="A1" s="41" t="inlineStr">
        <is>
          <t>🟠 Pending Queue — Not Started + In Progress, in study order</t>
        </is>
      </c>
    </row>
    <row r="2">
      <c r="A2" s="42" t="inlineStr">
        <is>
          <t>Dynamic — FILTER() pulled live from 'Study Plan'. Skipped problems are excluded on purpose; see the Skipped tab.</t>
        </is>
      </c>
    </row>
    <row r="3">
      <c r="A3" s="43" t="inlineStr">
        <is>
          <t>#</t>
        </is>
      </c>
      <c r="B3" s="43" t="inlineStr">
        <is>
          <t>Phase</t>
        </is>
      </c>
      <c r="C3" s="43" t="inlineStr">
        <is>
          <t>Topic</t>
        </is>
      </c>
      <c r="D3" s="43" t="inlineStr">
        <is>
          <t>Sub-Pattern</t>
        </is>
      </c>
      <c r="E3" s="43" t="inlineStr">
        <is>
          <t>Topic Order#</t>
        </is>
      </c>
      <c r="F3" s="43" t="inlineStr">
        <is>
          <t>Priority</t>
        </is>
      </c>
      <c r="G3" s="43" t="inlineStr">
        <is>
          <t>Problem</t>
        </is>
      </c>
      <c r="H3" s="43" t="inlineStr">
        <is>
          <t>Pattern / Approach Note</t>
        </is>
      </c>
      <c r="I3" s="43" t="inlineStr">
        <is>
          <t>Status</t>
        </is>
      </c>
      <c r="J3" s="43" t="inlineStr">
        <is>
          <t>Needs Revisit</t>
        </is>
      </c>
      <c r="K3" s="43" t="inlineStr">
        <is>
          <t>Date Solved</t>
        </is>
      </c>
      <c r="L3" s="43" t="inlineStr">
        <is>
          <t>Notes</t>
        </is>
      </c>
      <c r="M3" s="43" t="inlineStr">
        <is>
          <t>LeetCode Link</t>
        </is>
      </c>
      <c r="N3" s="43" t="inlineStr">
        <is>
          <t>Walkthrough</t>
        </is>
      </c>
    </row>
    <row r="4">
      <c r="A4">
        <f>IFERROR(FILTER('Study Plan'!$A$2:$N$227,('Study Plan'!$I$2:$I$227="Not Started")+('Study Plan'!$I$2:$I$227="In Progress")),"Nothing pending — every problem has been started or solved. 🎉")</f>
        <v/>
      </c>
    </row>
  </sheetData>
  <mergeCells count="2">
    <mergeCell ref="A1:E1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>
      <c r="A1" s="41" t="inlineStr">
        <is>
          <t>🔁 Revisit Queue — flagged for a second pass (independent of Status)</t>
        </is>
      </c>
    </row>
    <row r="2">
      <c r="A2" s="42" t="inlineStr">
        <is>
          <t>Dynamic — a problem can be Solved AND still show up here if Needs Revisit = Yes.</t>
        </is>
      </c>
    </row>
    <row r="3">
      <c r="A3" s="43" t="inlineStr">
        <is>
          <t>#</t>
        </is>
      </c>
      <c r="B3" s="43" t="inlineStr">
        <is>
          <t>Phase</t>
        </is>
      </c>
      <c r="C3" s="43" t="inlineStr">
        <is>
          <t>Topic</t>
        </is>
      </c>
      <c r="D3" s="43" t="inlineStr">
        <is>
          <t>Sub-Pattern</t>
        </is>
      </c>
      <c r="E3" s="43" t="inlineStr">
        <is>
          <t>Topic Order#</t>
        </is>
      </c>
      <c r="F3" s="43" t="inlineStr">
        <is>
          <t>Priority</t>
        </is>
      </c>
      <c r="G3" s="43" t="inlineStr">
        <is>
          <t>Problem</t>
        </is>
      </c>
      <c r="H3" s="43" t="inlineStr">
        <is>
          <t>Pattern / Approach Note</t>
        </is>
      </c>
      <c r="I3" s="43" t="inlineStr">
        <is>
          <t>Status</t>
        </is>
      </c>
      <c r="J3" s="43" t="inlineStr">
        <is>
          <t>Needs Revisit</t>
        </is>
      </c>
      <c r="K3" s="43" t="inlineStr">
        <is>
          <t>Date Solved</t>
        </is>
      </c>
      <c r="L3" s="43" t="inlineStr">
        <is>
          <t>Notes</t>
        </is>
      </c>
      <c r="M3" s="43" t="inlineStr">
        <is>
          <t>LeetCode Link</t>
        </is>
      </c>
      <c r="N3" s="43" t="inlineStr">
        <is>
          <t>Walkthrough</t>
        </is>
      </c>
    </row>
    <row r="4">
      <c r="A4">
        <f>IFERROR(FILTER('Study Plan'!$A$2:$N$227,'Study Plan'!$J$2:$J$227="Yes"),"Nothing marked Needs Revisit right now. 🎉")</f>
        <v/>
      </c>
    </row>
  </sheetData>
  <mergeCells count="2">
    <mergeCell ref="A1:E1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>
      <c r="A1" s="41" t="inlineStr">
        <is>
          <t>⏭️ Skipped — deliberately not attempted</t>
        </is>
      </c>
    </row>
    <row r="2">
      <c r="A2" s="42" t="inlineStr">
        <is>
          <t>Dynamic — problems whose Status is Skipped. Kept separate from Not Started since these were a deliberate call, not a backlog.</t>
        </is>
      </c>
    </row>
    <row r="3">
      <c r="A3" s="43" t="inlineStr">
        <is>
          <t>#</t>
        </is>
      </c>
      <c r="B3" s="43" t="inlineStr">
        <is>
          <t>Phase</t>
        </is>
      </c>
      <c r="C3" s="43" t="inlineStr">
        <is>
          <t>Topic</t>
        </is>
      </c>
      <c r="D3" s="43" t="inlineStr">
        <is>
          <t>Sub-Pattern</t>
        </is>
      </c>
      <c r="E3" s="43" t="inlineStr">
        <is>
          <t>Topic Order#</t>
        </is>
      </c>
      <c r="F3" s="43" t="inlineStr">
        <is>
          <t>Priority</t>
        </is>
      </c>
      <c r="G3" s="43" t="inlineStr">
        <is>
          <t>Problem</t>
        </is>
      </c>
      <c r="H3" s="43" t="inlineStr">
        <is>
          <t>Pattern / Approach Note</t>
        </is>
      </c>
      <c r="I3" s="43" t="inlineStr">
        <is>
          <t>Status</t>
        </is>
      </c>
      <c r="J3" s="43" t="inlineStr">
        <is>
          <t>Needs Revisit</t>
        </is>
      </c>
      <c r="K3" s="43" t="inlineStr">
        <is>
          <t>Date Solved</t>
        </is>
      </c>
      <c r="L3" s="43" t="inlineStr">
        <is>
          <t>Notes</t>
        </is>
      </c>
      <c r="M3" s="43" t="inlineStr">
        <is>
          <t>LeetCode Link</t>
        </is>
      </c>
      <c r="N3" s="43" t="inlineStr">
        <is>
          <t>Walkthrough</t>
        </is>
      </c>
    </row>
    <row r="4">
      <c r="A4">
        <f>IFERROR(FILTER('Study Plan'!$A$2:$N$227,'Study Plan'!$I$2:$I$227="Skipped"),"Nothing marked Skipped right now.")</f>
        <v/>
      </c>
    </row>
  </sheetData>
  <mergeCells count="2">
    <mergeCell ref="A1:E1"/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C2626"/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</cols>
  <sheetData>
    <row r="1" ht="20" customHeight="1">
      <c r="A1" s="1" t="inlineStr">
        <is>
          <t>Issue</t>
        </is>
      </c>
      <c r="B1" s="1" t="inlineStr">
        <is>
          <t>Row A</t>
        </is>
      </c>
      <c r="C1" s="1" t="inlineStr">
        <is>
          <t>Row B</t>
        </is>
      </c>
    </row>
    <row r="2">
      <c r="A2" t="inlineStr">
        <is>
          <t>Duplicate problem entry in current_progress.xlsx</t>
        </is>
      </c>
      <c r="B2" t="inlineStr">
        <is>
          <t>S.No 20.0: Number of Operations to Make Network Connected (https://leetcode.com/problems/number-of-operations-to-make-network-connected/)</t>
        </is>
      </c>
      <c r="C2" t="inlineStr">
        <is>
          <t>S.No 44.0: Number of Operations to Make Network Connected (https://leetcode.com/problems/number-of-operations-to-make-network-connected/description/)</t>
        </is>
      </c>
    </row>
    <row r="3">
      <c r="A3" t="inlineStr">
        <is>
          <t>Duplicate problem entry in current_progress.xlsx</t>
        </is>
      </c>
      <c r="B3" t="inlineStr">
        <is>
          <t>S.No 153.0: Count Substrings That Differ by One Character (https://leetcode.com/problems/count-substrings-that-differ-by-one-character/)</t>
        </is>
      </c>
      <c r="C3" t="inlineStr">
        <is>
          <t>S.No 155.0: Count Substrings That Differ by One Character (https://leetcode.com/problems/count-substrings-that-differ-by-one-character/description/)</t>
        </is>
      </c>
    </row>
    <row r="4">
      <c r="A4" t="inlineStr">
        <is>
          <t>Duplicate problem entry in current_progress.xlsx</t>
        </is>
      </c>
      <c r="B4" t="inlineStr">
        <is>
          <t>S.No 171.0: Unique Binary Search Trees (https://leetcode.com/problems/unique-binary-search-trees/)</t>
        </is>
      </c>
      <c r="C4" t="inlineStr">
        <is>
          <t>S.No 182.0: Unique Binary Search Trees (https://leetcode.com/problems/unique-binary-search-trees/)</t>
        </is>
      </c>
    </row>
    <row r="5">
      <c r="A5" t="inlineStr">
        <is>
          <t>Duplicate problem entry in current_progress.xlsx</t>
        </is>
      </c>
      <c r="B5" t="inlineStr">
        <is>
          <t>S.No 175.0: Numbers at Most N Given Digit Set (https://leetcode.com/problems/numbers-at-most-n-given-digit-set/)</t>
        </is>
      </c>
      <c r="C5" t="inlineStr">
        <is>
          <t>S.No 183.0: Numbers At Most N Given Digit Set (https://leetcode.com/problems/numbers-at-most-n-given-digit-set/description/)</t>
        </is>
      </c>
    </row>
    <row r="6">
      <c r="A6" t="inlineStr">
        <is>
          <t>Free-text note preserved from source Notes column</t>
        </is>
      </c>
      <c r="B6" t="inlineStr">
        <is>
          <t>Number of Provinces</t>
        </is>
      </c>
      <c r="C6" t="inlineStr">
        <is>
          <t>This is a variation of DFS</t>
        </is>
      </c>
    </row>
    <row r="7">
      <c r="A7" t="inlineStr">
        <is>
          <t>Free-text note preserved from source Notes column</t>
        </is>
      </c>
      <c r="B7" t="inlineStr">
        <is>
          <t>Binary Tree Left Side View</t>
        </is>
      </c>
      <c r="C7" t="inlineStr">
        <is>
          <t>Question is removed from LeetCode</t>
        </is>
      </c>
    </row>
    <row r="8">
      <c r="A8" t="inlineStr">
        <is>
          <t>Free-text note preserved from source Notes column</t>
        </is>
      </c>
      <c r="B8" t="inlineStr">
        <is>
          <t>Construct Binary Tree from Traversals</t>
        </is>
      </c>
      <c r="C8" t="inlineStr">
        <is>
          <t>Repeated question</t>
        </is>
      </c>
    </row>
    <row r="10">
      <c r="A10" t="inlineStr">
        <is>
          <t>Note: duplicates are de-duplicated automatically in Study Plan. 'Revisit' and 'Skipped' values that used to live in the Notes column are now modeled as Needs Revisit / Status = Skipped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2026-08-22T07:50:19Z</dcterms:created>
  <dcterms:modified xmlns:dcterms="http://purl.org/dc/terms/" xmlns:xsi="http://www.w3.org/2001/XMLSchema-instance" xsi:type="dcterms:W3CDTF">2026-08-22T07:50:19Z</dcterms:modified>
</cp:coreProperties>
</file>